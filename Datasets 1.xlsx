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Grace Ataguba\Downloads\Nancy\"/>
    </mc:Choice>
  </mc:AlternateContent>
  <xr:revisionPtr revIDLastSave="0" documentId="13_ncr:1_{A9F101D9-FA38-4DE7-9F34-6DB03DE27112}" xr6:coauthVersionLast="47" xr6:coauthVersionMax="47" xr10:uidLastSave="{00000000-0000-0000-0000-000000000000}"/>
  <bookViews>
    <workbookView xWindow="-120" yWindow="-120" windowWidth="29040" windowHeight="15720" xr2:uid="{58DCA00B-FC0D-4327-9DDD-7D573579DD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a="1"/>
  <c r="L3" i="1" s="1"/>
  <c r="L4" i="1" a="1"/>
  <c r="L4" i="1"/>
  <c r="L5" i="1" a="1"/>
  <c r="L5" i="1" s="1"/>
  <c r="L6" i="1" a="1"/>
  <c r="L6" i="1"/>
  <c r="L7" i="1" a="1"/>
  <c r="L7" i="1" s="1"/>
  <c r="L8" i="1" a="1"/>
  <c r="L8" i="1"/>
  <c r="L9" i="1" a="1"/>
  <c r="L9" i="1" s="1"/>
  <c r="L10" i="1" a="1"/>
  <c r="L10" i="1"/>
  <c r="L11" i="1" a="1"/>
  <c r="L11" i="1" s="1"/>
  <c r="L12" i="1" a="1"/>
  <c r="L12" i="1"/>
  <c r="L13" i="1" a="1"/>
  <c r="L13" i="1" s="1"/>
  <c r="L14" i="1" a="1"/>
  <c r="L14" i="1"/>
  <c r="L15" i="1" a="1"/>
  <c r="L15" i="1" s="1"/>
  <c r="L16" i="1" a="1"/>
  <c r="L16" i="1"/>
  <c r="L17" i="1" a="1"/>
  <c r="L17" i="1" s="1"/>
  <c r="L18" i="1" a="1"/>
  <c r="L18" i="1"/>
  <c r="L19" i="1" a="1"/>
  <c r="L19" i="1" s="1"/>
  <c r="L20" i="1" a="1"/>
  <c r="L20" i="1"/>
  <c r="L21" i="1" a="1"/>
  <c r="L21" i="1" s="1"/>
  <c r="L22" i="1" a="1"/>
  <c r="L22" i="1"/>
  <c r="L23" i="1" a="1"/>
  <c r="L23" i="1" s="1"/>
  <c r="L24" i="1" a="1"/>
  <c r="L24" i="1"/>
  <c r="L25" i="1" a="1"/>
  <c r="L25" i="1" s="1"/>
  <c r="L26" i="1" a="1"/>
  <c r="L26" i="1"/>
  <c r="L27" i="1" a="1"/>
  <c r="L27" i="1" s="1"/>
  <c r="L28" i="1" a="1"/>
  <c r="L28" i="1"/>
  <c r="L29" i="1" a="1"/>
  <c r="L29" i="1" s="1"/>
  <c r="L30" i="1" a="1"/>
  <c r="L30" i="1"/>
  <c r="L31" i="1" a="1"/>
  <c r="L31" i="1" s="1"/>
  <c r="L32" i="1" a="1"/>
  <c r="L32" i="1"/>
  <c r="L33" i="1" a="1"/>
  <c r="L33" i="1" s="1"/>
  <c r="L34" i="1" a="1"/>
  <c r="L34" i="1"/>
  <c r="L35" i="1" a="1"/>
  <c r="L35" i="1" s="1"/>
  <c r="L36" i="1" a="1"/>
  <c r="L36" i="1"/>
  <c r="L37" i="1" a="1"/>
  <c r="L37" i="1" s="1"/>
  <c r="L38" i="1" a="1"/>
  <c r="L38" i="1"/>
  <c r="L2" i="1" a="1"/>
  <c r="L2" i="1" s="1"/>
  <c r="H32" i="1" a="1"/>
  <c r="H32" i="1" s="1"/>
  <c r="H38" i="1" a="1"/>
  <c r="H38" i="1" s="1"/>
  <c r="H37" i="1" a="1"/>
  <c r="H37" i="1" s="1"/>
  <c r="H36" i="1" a="1"/>
  <c r="H36" i="1" s="1"/>
  <c r="H33" i="1" a="1"/>
  <c r="H33" i="1" s="1"/>
  <c r="G33" i="1"/>
  <c r="H31" i="1" a="1"/>
  <c r="H31" i="1" s="1"/>
  <c r="H30" i="1" a="1"/>
  <c r="H30" i="1" s="1"/>
  <c r="H29" i="1" a="1"/>
  <c r="H29" i="1" s="1"/>
  <c r="H28" i="1" a="1"/>
  <c r="H28" i="1" s="1"/>
  <c r="G28" i="1"/>
  <c r="H27" i="1" a="1"/>
  <c r="H27" i="1" s="1"/>
  <c r="G27" i="1"/>
  <c r="H26" i="1" a="1"/>
  <c r="H26" i="1" s="1"/>
  <c r="G26" i="1"/>
  <c r="H25" i="1" a="1"/>
  <c r="H25" i="1" s="1"/>
  <c r="G25" i="1"/>
  <c r="H24" i="1" a="1"/>
  <c r="H24" i="1" s="1"/>
  <c r="H23" i="1" a="1"/>
  <c r="H23" i="1" s="1"/>
  <c r="H22" i="1" a="1"/>
  <c r="H22" i="1" s="1"/>
  <c r="H21" i="1" a="1"/>
  <c r="H21" i="1" s="1"/>
  <c r="G21" i="1"/>
  <c r="H20" i="1" a="1"/>
  <c r="H20" i="1" s="1"/>
  <c r="H19" i="1" a="1"/>
  <c r="H19" i="1" s="1"/>
  <c r="H18" i="1" a="1"/>
  <c r="H18" i="1" s="1"/>
  <c r="H17" i="1" a="1"/>
  <c r="H17" i="1" s="1"/>
  <c r="G17" i="1"/>
  <c r="H16" i="1" a="1"/>
  <c r="H16" i="1" s="1"/>
  <c r="H8" i="1" a="1"/>
  <c r="H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<sst xmlns="http://schemas.openxmlformats.org/spreadsheetml/2006/main" count="314" uniqueCount="232">
  <si>
    <t>title</t>
  </si>
  <si>
    <t>year</t>
  </si>
  <si>
    <t>abstract</t>
  </si>
  <si>
    <t>doi</t>
  </si>
  <si>
    <t>keywords</t>
  </si>
  <si>
    <t>Domain Filter</t>
  </si>
  <si>
    <t>Transparency and Trust</t>
  </si>
  <si>
    <t>rayyan-319317578</t>
  </si>
  <si>
    <t>The current clinical practice and experiences in buccal midazolam prescribing in community for status epilepticus termination in the United Kingdom: The Rescue Epilepsy Medication and Training (REMIT) study</t>
  </si>
  <si>
    <t>Background     Epilepsy is one of the commonest neurological conditions worldwide and confers a significant mortality risk, partly driven by status epilepticus (SE). Terminating SE is the goal of pharmaceutical rescue therapies. This survey evaluates UK-based healthcare professionalsâ€™ clinical practice and experience in community-based rescue therapy prescribing.     Methods     A cross-sectional, 21 item questionnaire composed of Likert-style and free-text based questions was administered online. It was distributed through a non-discriminative snow-balling methodology to members of the Epilepsy Specialist Nursesâ€™ Association (ESNA) and the British International League Against Epilepsy (ILAE). Quantitative analysis used Chi-squared, Fishersâ€™ exact and Mann-Whitney tests. Qualitative data were analysed through NVivo 14 software, following Braun and Clarke methodology.     Results     86 participants comprising of nurses (n = 64) and doctors (n = 21) responded. Participantsâ€™ responses reflected guideline-concordant use of emergency management plans and buccal midazolam (BM) as a first-choice therapy for terminating tonic-clonic seizures in SE. However, significant variation (P &lt; 0.05) was found between doctors and nurses in prescribing practices of BM including maximum dose prescribed/day, withdrawal plans and the use in multimorbid patients. Eight themes were identified with some suggestive of concerns of overuse, misuse and abuse of BM by patients/carers.     Conclusion     This is the first study to give insights to community management of SE using rescue therapies particularly BM. Further evidence-based guidelines are needed for BM use in multimorbid patients and for its deprescribing. Robust safeguarding protocols and vigilance is needed to regulate BM's misuse and abuse potential. Oncoming community-based technology could provide objective assurance for evidencing utility of rescue medications.</t>
  </si>
  <si>
    <t>https://doi.org/10.1016/j.seizure.2024.12.022</t>
  </si>
  <si>
    <t>Epilepsy mortality;Epilepsy risk;Rescue therapy;Benzodiazepine;Seizures</t>
  </si>
  <si>
    <t>Health</t>
  </si>
  <si>
    <t>Yes</t>
  </si>
  <si>
    <t>rayyan-319317581</t>
  </si>
  <si>
    <t>Validation of the trait emotional intelligence questionnaire â€“ Adolescent short form (TEIQue-ASF) among adolescents in Vietnam</t>
  </si>
  <si>
    <t>Emotional Intelligence (EI) is the knowledge, beliefs, and attitudes an individual has about their own and other people's emotions. EI is considered a protector against mental illness and potentially increases mental health. Petrides' Trait Emotional Intelligence Questionnaire (TEIQue) is validated among adults globally. However, there is little data yet about its use among Asian countries. This study aims to translate and culturally verify the Trait Emotional Intelligence Adolescent Short Form (TEIQue-ASF) and investigate content validity, construct validity, and reliability targeting answering the research question of whether TEIQue-ASF can be used to measure EI among Vietnamese high school adolescents. The content of the TEIQue-ASF was translated (English to Vietnamese) and back-translated (Vietnamese to English) in consultation with bilingual and bicultural health researchers and pilot-tested among 51 potential respondents. Phraseology and wording were then adjusted, and the final version is named the TEIQue-ASF-VN. The TEIQue-ASF-VN's properties were investigated in a cross-sectional self-report survey among high school students in Central Vietnam. In total, 1593/1686 (94.5%) eligible students (age range 15â€“18) from nine high schools in rural, urban, and coastline areas completed the survey. Explanatory Factor Analysis (EFA) with Oblimin rotation yielded a four-factor solution with all factor loadings above .30. Some facets loaded differently than the original version. The differences in cultural values between Vietnam and Western countries might lead to this partial duplication. Cronbach's alpha of the global score for the TEIQue-ASF-VN was .77. The TEIQue-ASF Vietnamese version is understandable, has good content, and constructs validity and reliability among adolescents in Vietnam. This study contributes to the broader understanding of the applicability and reliability of EI measures across diverse cultural settings. It recommends using the TEIQue-ASF Vietnamese version in schools or communities and studying education, psychology, and public health to investigate trait EI in Vietnam.</t>
  </si>
  <si>
    <t>https://doi.org/10.1016/j.ssmmh.2025.100413</t>
  </si>
  <si>
    <t>Psychology;Adolescent;Construct validity;Factor analysis;Trait emotional intelligence;Vietnam</t>
  </si>
  <si>
    <t>rayyan-319317582</t>
  </si>
  <si>
    <t>Design-based research and design thinking in the Fab Lab: Developing an intervention to spark empowering making activities among children and adolescents</t>
  </si>
  <si>
    <t>To thrive in a rapidly changing world, children need opportunities to develop agency. Fab Labs and makerspaces, equipped with digital fabrication tools, offer empowering settings where children can design and build their own creations while developing STEM competencies. This study investigates how making activities in such settings can foster agency by engaging children as active participants in a co-creative and participatory intervention grounded in Self-Determination Theory. Using a design-based research approach, three iterations of a four-week workshop series were conducted with NÂ =Â 66 children and adolescents aged 9â€“13. Design thinking provided a guiding structure for children to generate and pursue their own ideas and for mentors to support the open-ended processes. Findings show that participants successfully engaged in self-directed and independent making activities, experienced agency, and continued their engagement. The study demonstrates the potential of Fab Labs to foster self-regulation and highlights the importance of iterative, participatory approaches for developing empowering interventions. It contributes to promoting equity in informal STEM education and offers both theoretical and practical implications, as well as further avenues for research.</t>
  </si>
  <si>
    <t>https://doi.org/10.1016/j.ijcci.2025.100763</t>
  </si>
  <si>
    <t>Making activities;Fab Lab;Design thinking;Design-based research;Self-Determination theory</t>
  </si>
  <si>
    <t>Technology</t>
  </si>
  <si>
    <t>rayyan-319317583</t>
  </si>
  <si>
    <t>Audit partners' and associatesâ€™ insights and experiences of remote work in response to a global crisis Event: Implications for the profession and future directions</t>
  </si>
  <si>
    <t>Remote work was forced upon employees due to a worldwide crisis event. As some form of remote work continues, we draw upon psychology research which identifies four areas of concern: unemployment and job insecurity, employment disparities, work-family interface, and employee mental health issues. We adapt a conceptual framework to evaluate the negative effects caused by disruptive events and respective problem-focused mitigation strategies implemented by audit firms. The results of semi-structured interviews with audit partners and associates reveal the greatest overall concern for audit partners is employee mental health issues, with associates reporting inconsistent effectiveness of improvement tactics. Work-family interface remains a challenge, and even more so during a crisis event. Regarding employment disparities and development, all agree the apprenticeship model suffers in a remote environment. The area of least overall concern is unemployment and job insecurity. However, for audit partners, the greatest employment issue is hiring and retention. The findings emphasize the need for audit firms to invest in strategies to mitigate these effects of remote work and for additional research that evaluates and supports these efforts.</t>
  </si>
  <si>
    <t>https://doi.org/10.1016/j.bar.2025.101701</t>
  </si>
  <si>
    <t>Remote auditing;Crisis events;Auditor unemployment;Mental health;Work-family interface;Employment disparities;Qualitative research</t>
  </si>
  <si>
    <t>rayyan-319317584</t>
  </si>
  <si>
    <t>Transdiagnostic study of dynamic brain activity and connectivity among people with gambling and internet gaming disorders</t>
  </si>
  <si>
    <t>Despite both internet gaming disorder (IGD) and gambling disorder (GD) being officially recognized as medical conditions by the World Health Organization, controversies persist. A transdiagnostic study may help inform classification and intervention approaches. IGD and GD may share or have distinct neural and behavioral features. To investigate, resting-state functional magnetic resonance imaging (fMRI) and self-reported behavioral data were collected from 58 individuals with GD, 31 with IGD, and 83 healthy control (HC) participants. After controlling for demographics, both GD and IGD groups scored lower on measures of gambling-related positive play. Neural data revealed reduced brain connectivity in the right rectus/orbital frontal gyrus in GD and IGD groups compared to HC participants. IGD participants displayed increased dynamic brain activity in the left triangular inferior frontal gyrus compared with GD and HC participants. Relatively decreased modular flexibility was also observed in GD but not IGD participants, relative to HC participants. Multiclass classification results showed that the indicators of gambling-related positive play, as well as dynamic brain activity and connectivity patterns, were useful for classifying GD, IGD, and HC participants, outperforming the use of either neural signals or self-report indicators alone. The shared phenotypes of GD and IGD groups provide insight into common features of behavioral addictions, and the combination of self-report and neural measures may provide the most robust approach for classification of diagnostic groups.</t>
  </si>
  <si>
    <t>https://doi.org/10.1016/j.ijchp.2025.100547</t>
  </si>
  <si>
    <t>Gambling;Video games;Addictive behaviors;Impulsive behaviors;Compulsive behaviors;Resting-state;fMRI</t>
  </si>
  <si>
    <t>rayyan-319317587</t>
  </si>
  <si>
    <t>The bioSocial Cognitive Theory of eating (bSCT-e): Applying and elaborating on a biopsychosocial substance use theory for food addiction</t>
  </si>
  <si>
    <t>Obesity rates are increasing globally, and food addiction (FA1) may be an important contributing factor but there is a lack of understanding of the key psychological mechanisms that contribute to FA. The bioSocial Cognitive Theory (bSCT) proposes that substance use is predicted by biologically based personality traits and their influence on social cognitive mechanisms. While validated in substance use, bSCT has not been applied to a behavioural or non-substance addiction. However, the bSCT does not include a negative affective personality component, of which there is clear theoretical and empirical support as risk factors for FA. Thus, this study sought to test both the original bSCT model and an elaborated version related to eating (bSCT-e) that included direct and indirect punishment sensitivity pathways to identify the individual risk factors of FA. Data were collected from 204 university students (75.5% female; MageÂ =Â 24.82, SDÂ =Â 9.17) via an online survey. Both original bSCT and bSCT-e models provided a good fit to the data, with the latter providing slightly better fit and accounting for more variance in FA. The findings suggest that individuals who are more reward driven and punishment sensitive hold exaggerated beliefs about the reinforcing and emotion regulation effects of eating, which may undermine eating control and increase risk of FA. This study provides potential new insights into the complex biopsychosocial mechanisms of FA, and points to potential intervention targets.</t>
  </si>
  <si>
    <t>https://doi.org/10.1016/j.appet.2024.107750</t>
  </si>
  <si>
    <t>Food addiction;Expectancies;Self-efficacy;Impulsivity;Behavioural inhibition system (BIS);Behavioural approach system (BAS)</t>
  </si>
  <si>
    <t>rayyan-325715226</t>
  </si>
  <si>
    <t>Incorporating the Concepts of Fairness and Bias into an Undergraduate Computer Science Course to Promote Fair Automated Decision Systems - Proceedings of the 53rd ACM Technical Symposium on Computer Science Education V. 2</t>
  </si>
  <si>
    <t>Data bias and algorithmic bias are the primary contributing factors for fairness-related risks in AI-based decision-making. The concept of fairness is comparatively new and is sometimes only discussed in detail in graduate-level courses such as Ethics of Artificial Intelligence, and Ethics and Governance of Artificial Intelligence. In addition, at the undergraduate level, a standalone course on fairness is not feasible due to the level of difficulty and the many other essential courses that need to be broached in a university's computer science curriculum. Therefore, instead of a standalone course, we have created a concise, high-level concept module on bias and fairness in automated decisions, with (1) lecture material, (2) demonstrations, and (3) assignments (i.e., exercises) on real-world datasets.</t>
  </si>
  <si>
    <t>10.1145/3478432.3499043</t>
  </si>
  <si>
    <t>artificial intelligence;automated decision-making;bias;fairness</t>
  </si>
  <si>
    <t>Education</t>
  </si>
  <si>
    <t>rayyan-325715364</t>
  </si>
  <si>
    <t>Invigorating Ubuntu Ethics in AI for healthcare: Enabling equitable care - Proceedings of the 2023 ACM Conference on Fairness, Accountability, and Transparency</t>
  </si>
  <si>
    <t>The use of artificial intelligence (AI) in healthcare has the potential to improve patient outcomes and increase efficiency in the delivery of care. However, the design, deployment and use of AI in healthcare must be guided by a set of ethical principles that prioritize the well-being of patients and the community, and ensure that care is delivered equitably. A growing body of literature on algorithmic injustice illustrates that AI systems in healthcare have the potential to cause social harm, especially to vulnerable communities. Existing ethical principles in healthcare are based on, and mostly influenced by, Western epistemology, which emphasizes individual rights, often at the expense of collective well-being. The African philosophy of Ubuntu, which emphasises the interconnectedness and interdependence of all people, is an attractive framework for addressing ethical concerns in AI for healthcare because healthcare is intrinsically a community-wide issue. This paper discusses the relevance of Ubuntu ethics in the context of AI for healthcare and proposes principles to reinvigorate the spirit of â€œI am because we areâ€ in design, deployment and use. 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</si>
  <si>
    <t>10.1145/3593013.3594024</t>
  </si>
  <si>
    <t>algorithmic fairness;algorithmic trust;equitable care;relational ethics</t>
  </si>
  <si>
    <t>rayyan-325715367</t>
  </si>
  <si>
    <t>Explainable Deep Reinforcement Learning: State of the Art and Challenges</t>
  </si>
  <si>
    <t>Interpretability, explainability, and transparency are key issues to introducing artificial intelligence methods in many critical domains. This is important due to ethical concerns and trust issues strongly connected to reliability, robustness, auditability, and fairness, and has important consequences toward keeping the human in the loop in high levels of automation, especially in critical cases for decision making, where both (human and the machine) play important roles. Although the research community has given much attention to explainability of closed (or black) prediction boxes, there are tremendous needs for explainability of closed-box methods that support agents to act autonomously in the real world. Reinforcement learning methods, and especially their deep versions, are such closed-box methods. In this article, we aim to provide a review of state-of-the-art methods for explainable deep reinforcement learning methods, taking also into account the needs of human operatorsâ€”that is, of those who make the actual and critical decisions in solving real-world problems. We provide a formal specification of the deep reinforcement learning explainability problems, and we identify the necessary components of a general explainable reinforcement learning framework. Based on these, we provide a comprehensive review of state-of-the-art methods, categorizing them into classes according to the paradigm they follow, the interpretable models they use, and the surface representation of explanations provided. The article concludes by identifying open questions and important challenges.</t>
  </si>
  <si>
    <t>10.1145/3527448</t>
  </si>
  <si>
    <t>Deep learning;deep reinforcement learning;interpretability;explainability;transparency</t>
  </si>
  <si>
    <t>rayyan-325715368</t>
  </si>
  <si>
    <t>Exploration on Integrating Accessibility into an AI Course - Proceedings of the 53rd ACM Technical Symposium on Computer Science Education - Volume 1</t>
  </si>
  <si>
    <t>Understanding accessibility and how it relates to artificial intelligence (AI)-based technology is an imperative skill for computing students from both an ethical and employment standpoint. Unfortunately, AI courses do not typically cover accessibility. When teaching ethics in AI, discussions on bias and fairness cover user diversity in terms of gender and race, but not disability. To address the lack of teaching accessibility in AI courses, we conducted a pilot study to explore what and how accessibility topics can be integrated into an AI course, titled Natural Language Processing (NLP). We added to the NLP course some general and quick accessibility topics through means such as a short guest lecture, a programming assignment and a final project that connect accessibility and AI. We gathered student feedback through a pre-survey, a post-survey and interviews with five students. The course we looked at took place synchronously in an online setting using Zoom. In this context, we observed how implementing accessibility topics remotely into the course affected students in their knowledge of accessibility and disability.</t>
  </si>
  <si>
    <t>10.1145/3478431.3499399</t>
  </si>
  <si>
    <t>accessibility;artificial intelligence;computing education</t>
  </si>
  <si>
    <t>rayyan-325715393</t>
  </si>
  <si>
    <t>Values in Emotion Artificial Intelligence Hiring Services: Technosolutions to Organizational Problems</t>
  </si>
  <si>
    <t>Despite debates about emotion artificial intelligence's (EAI) validity, legality, and social consequences, EAI is increasingly present in the high stakes context of hiring, with potential to shape the future of work and the workforce. The values laden in technology play a significant role in its societal impact.We conducted qualitative content analysis on the public-facing websites (N=229) of EAI hiring services. We identify the organizational problems that EAI hiring services claim to solve and reveal the values emerging in desired EAI uses as promoted by EAI hiring services to solve organizational problems. Our findings show that EAI hiring services market their technologies as technosolutions to three purported organizational hiring problems: 1) hiring (in)accuracy, 2) hiring (mis)fit, and 3) hiring (in)authenticity. We unpack these problems to expose how these desired uses of EAI are legitimized by the corporate ideals of data-driven decision making, continuous improvement, precision, loyalty, and stability. We identify the unfair and deceptive mechanisms by which EAI hiring services claim to solve the purported organizational hiring problems, suggesting that they unfairly exclude and exploit job candidates through EAI's creation, extraction, and affective commodification of a candidate's affective value through pseudoscientific approaches. Lastly, we interrogate EAI hiring service claims to reveal the core values that underpin their stated desired use: techno-omnipresence, techno-omnipotence, and techno-omniscience. We show how EAI hiring services position desired use of their technology as a moral imperative for hiring organizations with supreme capabilities to solve organizational hiring problems, then discuss implications for fairness, ethics, and policy in EAI-enabled hiring within the US policy landscape.</t>
  </si>
  <si>
    <t>10.1145/3579543</t>
  </si>
  <si>
    <t>affective computing;ai;ai ethics;algorithmic decision-making;artificial emotional intelligence;emotion ai;emotion recognition;employment assessments;future of work;labor;psychometrics;recruiting software;talent;talent acquisition;values</t>
  </si>
  <si>
    <t>rayyan-325715400</t>
  </si>
  <si>
    <t>The Dos and Don'ts of Affect Analysis - Proceedings of the 3rd International on Multimodal Sentiment Analysis Workshop and Challenge</t>
  </si>
  <si>
    <t>As an inseparable and crucial component of communication affects play a substantial role in human-device and human-human interaction. They convey information about a person's specific traits and states [1, 4, 5], how one feels about the aims of a conversation, the trustworthiness of one's verbal communication [3], and the degree of adaptation in interpersonal speech [2]. This multifaceted nature of human affects poses a great challenge when it comes to applying machine learning systems for their automatic recognition and understanding. Contemporary self-supervised learning architectures such as Transformers, which define state-of-the-art (SOTA) in this area, have shown noticeable deficits in terms of explainability, while more conventional, non-deep machine learning methods, which provide more transparency, often fall (far) behind SOTA systems. So, is it possible to get the best of these two 'worlds'? And more importantly, at what price? In this talk, I provide a set of Dos and Don'ts guidelines for addressing affective computing tasks w. r. t. (i) preserving privacy for affective data and individuals/groups, (ii) being efficient in computing such data in a transparent way, (iii) ensuring reproducibility of the results, (iv) knowing the differences between causation and correlation, and (v) properly applying social and ethical protocols.</t>
  </si>
  <si>
    <t>10.1145/3551876.3554815</t>
  </si>
  <si>
    <t>affective computing;explainability;multimodal sentiment analysis;reproducibility</t>
  </si>
  <si>
    <t>rayyan-325715402</t>
  </si>
  <si>
    <t>An Exploratory Diagnosis of Artificial Intelligence Risks for a Responsible Governance. - Proceedings of the 15th International Conference on Theory and Practice of Electronic Governance</t>
  </si>
  <si>
    <t>Our lives have been increasingly filled with technologies that use Artificial Intelligence (AI), whether at home, in public spaces, in social organizations, or in services. Like other technologies, adopting this emerging technology also requires societyâ€™s attention to the challenges that may arise from it. The media brought to the public some unexpected results from using these technologies, for example, the unfairness case in the COMPAS system. It became more evident that these technologies can have unintended consequences. In particular, in the public interest domain, these unintended consequences and their origin are a challenge for public policies, governance, and responsible AI. This work aims to identify the technological and ethical risks in data-driven decision systems based on AI and conduct a diagnosis of these risks and their perception. To do that, we use a triangulation of methods. In the first stage, a search on Web of Science has been performed. We consider all the 412 papers. The second stage corresponds to a analysis of experts. The papers have been classified according to the relevance to the topic by the experts. In the third stage, we use the survey method and include risk insights from stage two in our questions. We found 24 concerns which arise from the perspective of the ethical and technological risk perspective. The perception of participants regarding the level of concern they have with the risks of a data-driven system based on AI is high than their perception of societyâ€™s concern. Fairness is considered the risk whose perception is more severe. Fairness, Bias, Accountability, Interpretability, and Explainability are considered the most relevant concepts for a responsible AI. Consequently, also the most relevant for responsible governance of AI.</t>
  </si>
  <si>
    <t>10.1145/3560107.3560298</t>
  </si>
  <si>
    <t>Artificial Intelligence;Diagnosis of the Situation;Ethical Risks;Governance;Risk Perception;Technological Risks</t>
  </si>
  <si>
    <t>rayyan-325715414</t>
  </si>
  <si>
    <t>Towards Machine Learning Fairness Education in a Natural Language Processing Course - Proceedings of the 54th ACM Technical Symposium on Computer Science Education V. 1</t>
  </si>
  <si>
    <t>Machine learning (ML) models are often included in high-risk algorithmic decision-making software. Hence, ML is a particularly important facet of ethics education so that models are less biased and more fair to all users. Natural Language Processing (NLP) specifically functions on text, a human produced artifact, making it more prone to inheriting flawed biases. However, teaching about ethics in ML courses is lacking. To address this issue, we created 3 interventions in an NLP course to introduce students to biases in ML models. We employed a combination of hands-on programming activities, lecture, and a project that discusses ML fairness at different levels and for different populations including gender bias and disability bias. Each intervention included a reflection question about bias. We also interviewed 6 students to further understand the impact of the interventions. 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</si>
  <si>
    <t>10.1145/3545945.3569802</t>
  </si>
  <si>
    <t>cs education;disability;fairness;machine learning;nlp</t>
  </si>
  <si>
    <t>rayyan-323305285</t>
  </si>
  <si>
    <t>Personality differences in patients with and without gallstones</t>
  </si>
  <si>
    <t>Objective     Presence of gallstones is associated with a range of risk factors that have previously shown associations with personality traits. Our aim was to assess the differences in personality traits between the patients with and without gallstones.     Methods     This study used a case-control design with 308 participants from the general population, 68.2% female, mean age 49.2 (SD 9.24) years, of whom 154 (50%) participants had asymptomatic gallstones. Personality was assessed with the Temperament and Character Inventory - Revised â€“ 140 (TCI-R-140) and depression with the Center for Epidemiological Study of Depression Scale (CESD). Cut-off â‰¥16 on the CES-D was used as an exclusion criterion. Subjects were also checked for metabolic risk factors and sociodemographic characteristics.     Results     The group with gallstones had significantly more pronounced metabolic risk factors and higher prevalence of smoking and alcohol usage in comparison with the group without gallstones. This group also exhibited higher temperament dimension Harm avoidance (HA) and lower character dimension Self-directedness (SD). Metabolic variables differed based on character dimension Cooperativeness (CO), smoking based on temperament dimensions Novelty seeking (NS) and HA, and alcohol usage on dimension NS within the gallstones group. In the logistic regression, controlled for smoking, alcohol usage and metabolic variables, temperament dimension HA was shown to be a significant predictor of the presence of gallstones.     Conclusion     Our findings indicate that personality may be associated with the presence of gallstones. Future longitudinal studies addressing the complex interplay of personality traits, psychological mechanisms and the associated behavioral, metabolic and neurobiological factors, are needed.</t>
  </si>
  <si>
    <t>https://doi.org/10.1016/j.jpsychores.2023.111322</t>
  </si>
  <si>
    <t>Personality;Temperament;Character;Gallstones;Risk factors</t>
  </si>
  <si>
    <t>rayyan-319318077</t>
  </si>
  <si>
    <t>Examining the legitimacy landscape of the right to tourism</t>
  </si>
  <si>
    <t>Discourses on the legitimacy of the right to tourism are often characterized by complexity and polarization. This study provides an in-depth examination of this discourse, grounded in institutional theory. We present a novel synthesis of key legitimacy perspectives, identifying eight distinct legitimization approaches: nested, purist, discretionary, ethical, social, vulnerability, precautionary, and multilateral. Rather than advocating for or against the right to tourism, this research focuses on understanding the diverse legitimization strategies employed to support differing positions. Furthermore, we introduce a multi-faceted legitimacy framework for assessing legitimacy judgments in tourism policymaking. This framework establishes a spectrum of legitimacy, highlighting a shift from reliance on basic legitimacy considerations toward more nuanced approaches in contemporary debates. We emphasize the importance of achieving at least intermediate levels of legitimacy to ensure long-term policy acceptance and sustainable tourism outcomes. The findings offer valuable insights for policymakers seeking to develop nuanced and legitimacy-conscious approaches to tourism governance.</t>
  </si>
  <si>
    <t>https://doi.org/10.1016/j.tmp.2025.101365</t>
  </si>
  <si>
    <t>Rights to tourism;Multi-perception legitimacy framework;Legitimization approaches;Tourism policy</t>
  </si>
  <si>
    <t>rayyan-319319881</t>
  </si>
  <si>
    <t>Inspirational Intuition: Unlocking Creative Insight</t>
  </si>
  <si>
    <t>Creative insight is critical to adaptive leadership and innovation in increasingly complex environments. This article introduces Inspirational Intuition as a conceptual framework that integrates intuitive perception and knowledge imagination. Drawing on creativity theory, unconscious cognition, and leadership research, the article outlines four foundational dimensions: Self-Confident Acting, Creative Silence, Emotional Awareness, and Visionary Openness. These form the basis of the IKII-10, a reflective inventory designed for conceptual engagement with intuitive Human Resource Development (HRD) competencies. Rather than an empirical tool, the IKII-10 serves as a scaffold for further theory building, supporting a more holistic understanding of learning, leadership, and organisational development in the face of uncertainty.</t>
  </si>
  <si>
    <t>https://doi.org/10.1016/j.yjoc.2025.100104</t>
  </si>
  <si>
    <t>Creativity;Intuition;IKII-10;Leadership development;Imaginative thinking;Human resource development</t>
  </si>
  <si>
    <t>Hiring</t>
  </si>
  <si>
    <t>rayyan-319320883</t>
  </si>
  <si>
    <t>Factors impacting employee productivity in the UAE public sector embracing the Fourth Industrial Revolution</t>
  </si>
  <si>
    <t>The Fourth Industrial Revolution (4IR) is rapidly transforming the nature of work, service delivery, and performance expectations in public sector institutions. These digital disruptions have raised critical questions about how employee productivity can be sustained amid evolving technologies and organizational structures. In this context, understanding the influence of human resource management (HRM), workforce capacity (WFC), and people leadership (PL) becomes essential for enhancing public sector performance. Grounded in socio-technical systems (STS) theory, this study proposes an integrated framework to address productivity challenges unique to the UAE context. A cross-sectional survey of 303 public-sector employees in Sharjah was conducted, and data were analyzed using descriptive statistics, inferential tests, and the relative importance index (RII) technique. The findings reveal that HRM, WFC, and PL significantly affect four key outcomes: productivity, quality of work life, distributive fairness (DF), and work-from-home arrangements (WHA). Notably, the most influential factor across all domains was a positive work environment (RIIÂ =Â 0.902), followed by job security (RIIÂ =Â 0.894) and supervisory behavior (RIIÂ =Â 0.889). These results provide empirical support for prioritizing human-centric strategies within public sector reform efforts. The study contributes to both theory and practice by offering evidence-based insights for policymakers aiming to strengthen workforce performance in the era of digital transformation.</t>
  </si>
  <si>
    <t>https://doi.org/10.1016/j.ssaho.2025.101706</t>
  </si>
  <si>
    <t>Productivity;Public service;Human resource management;Workforce capacity;People leadership</t>
  </si>
  <si>
    <t>rayyan-319855339</t>
  </si>
  <si>
    <t>Exploring the individual adoption of human resource analytics: Behavioural beliefs and the role of machine learning characteristics</t>
  </si>
  <si>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t>
  </si>
  <si>
    <t>https://doi.org/10.1016/j.techfore.2024.123709</t>
  </si>
  <si>
    <t>Human resource analytics;Machine learning adoption;Explainable artificial intelligence;Theory of planned behaviour;Employee turnover prediction</t>
  </si>
  <si>
    <t>rayyan-319857349</t>
  </si>
  <si>
    <t>The ethical implications of big data in human resource management</t>
  </si>
  <si>
    <t>This article examines the ethical implications of big data in human resource management (HRM) practices, specifically in the areas of recruitment and selection, training and development, performance management, compensation, and employee retention. The article commences with a characterization of big data applications in HRM processes and practices, highlighting their benefits and value for the management of the workforce. It also shows how the application of big data analytics can put employees at great risk through institutional surveillance and other algorithmic manipulation practices such as profiling, coercion and control. Our theorizing advances the HRM and ethics literatures by offering a more expanded and nuanced view of the significant ethical challenges specific to individual HR practices. Additionally, our analysis brings ethics into the domain of HRM by problematizing the exploitation of employee information through digital technology for corporate gain. In so doing, it employs a moral principles framework to show how BDA - HRM practices can compromise employees' rights to privacy, confidentiality, transparency, and protection. Our analysis also raises concerns shared by both the practitioner and scholarly communities that are yet to be addressed and offers recommendations for research and practice.</t>
  </si>
  <si>
    <t>https://doi.org/10.1016/j.hrmr.2024.101012</t>
  </si>
  <si>
    <t>Artificial intelligence;Big data;Ethics;Human resource management</t>
  </si>
  <si>
    <t>rayyan-319862944</t>
  </si>
  <si>
    <t>Hacking the perfect score on high-stakes personality assessments with generative AI</t>
  </si>
  <si>
    <t>This study investigated the challenges posed by Large Language Models (LLMs) in faking on personality assessments within human resource management. As LLMs are increasingly adopted for a variety of tasks like writing and problem-solving, their potential to manipulate high-stakes personality assessments raises concerns about the validity of such tools in personnel selection. This study examines whether LLMs can inflate scores more effectively than humans and examines the effectiveness of different question types in resisting faking attempts. An experimental framework involving 655 business students and various LLMs was used to compare phrase-based forced-choice and single-stimulus questions. Results indicated that phrase-based prompts and the forced-choice measures were more resistant to faking, reducing manipulated scores more effectively than single-stimulus questions. ChatGPT models scored higher than the student population. These findings underscore the potential for LLMs to undermine the validity of personality assessments in remote testing environments and suggest a need to re-evaluate traditional assessment methodologies in the era of advanced generative AI.</t>
  </si>
  <si>
    <t>https://doi.org/10.1016/j.paid.2024.112840</t>
  </si>
  <si>
    <t>Artificial intelligence;Large language models;Personality assessments;Human resource management;Hiring;Selection</t>
  </si>
  <si>
    <t>rayyan-319327208</t>
  </si>
  <si>
    <t>5Cs for 5Ps: Achieving sustainable development goals through transforming human resource management</t>
  </si>
  <si>
    <t>The United Nations has adopted 17 Sustainable Development Goals (SDGs) covering five areas: People, Planet, Prosperity, Peace, and Partnership (the 5Ps). Businesses were extensively involved in the development of the SDGs and are regarded as important partners in realizing them. With many of the SDGs directly related to how human capital in organizations is managed, human resource management (HRM) practices are particularly important for achieving these goals. Thus, many HRM theories and practices are focused on sustainability in general and achieving the SDGs in particular. Yet, recent reports show that humanity is very far from achieving most of the 17 SDGs. This paper employs an abductive method to analyze this anomaly and propose a holistic SDG-driven HRM theory for achieving the 5Ps. It proposes 5Cs including the underlying culture (contradictory-accepting), practices (competency-based), policies (comprehensive by inducing occupational justice), programs (e.g. co-innovation program), and structure (collaborative, dynamic team-based) for an HRM system that is more likely to attain the SDGs. While previous scholarship focused on why sustainability should be incorporated into HRM practices and what it should aim to achieve, this novel theory (a) analyses the SDGs to reveal their underlying organizational goals, (b) analyses the literature to match these underlying goals with best practice HRM bundles, and (c) explains how these may be implemented. The proposed theory is timely as there is a pressing need to find ways to attain the SDGs.</t>
  </si>
  <si>
    <t>https://doi.org/10.1016/j.jclepro.2025.146293</t>
  </si>
  <si>
    <t>Sustainable human resource management;Sustainable development goals;Contradiction accepting culture;Competency-based approach</t>
  </si>
  <si>
    <t>rayyan-319863263</t>
  </si>
  <si>
    <t>rayyan-319327228</t>
  </si>
  <si>
    <t>Early Diagnosis of Knee Osteoarthritis With a Natural Language Processingâ€“Driven Approach Based on Clinician Notes: Development and Validation Study</t>
  </si>
  <si>
    <t>Background     Knee osteoarthritis (OA) is a common form of knee arthritis that can cause significant disability and affect a patientâ€™s quality of life. Although this disease is chronic and irreversible, the patientâ€™s condition can be improved and the progression of the disease can be prevented if the disease is diagnosed early and the patient receives appropriate treatment immediately. Therefore, the prediction of knee OA is considered one of the essential steps to effectively diagnose and prevent further severe OA conditions. Knee OA is commonly diagnosed by medical experts or physicians, and the diagnosis of OA is mainly based on patientsâ€™ laboratory results and medical images, including x-ray and magnetic resonance images. However, diagnosis through such data is often time-consuming. Moreover, the diagnosis results can vary among physicians depending on their expertise. Previous studies mostly focused on using approaches, such as those involving artificial intelligence, to automatically detect knee OA through such data. However, these studies did not incorporate cliniciansâ€™ or doctorsâ€™ notes (text data) into the analysis, although these data involving reported symptoms and behaviors are already available and easier to collect and access than laboratory data and image data.     Objective     We propose a novel natural language processingâ€“driven approach based on cliniciansâ€™ or doctorsâ€™ notes of patient-reported symptoms (text data only) for diagnosing knee OA.     Methods     The textual information from cliniciansâ€™ or doctorsâ€™ notes was first preprocessed using text analysis algorithms with respect to natural language processing. We then incorporated deep learning models, including convolutional neural networks, bidirectional long short-term memory (BiLSTM), and gated recurrent units. Lastly, a disease-specific standard questionnaire called WOMAC (Western Ontario and McMaster Universities Arthritis Index) was taken into account to improve the overall performance of the models.     Results     Our experiment included 5849 records (OA: 3455; non-OA: 2394). Before applying our WOMAC-based processing approach, the best-performing model was BiLSTM (area under the curve, 0.85; accuracy, 0.87; precision, 0.85; sensitivity, 0.95; specificity, 0.76; F1-score, 0.90), and there was an improvement in the results with BiLSTM after applying our approach (area under the curve, 0.91; accuracy, 0.91; precision, 0.91; sensitivity, 0.94; specificity, 0.87; F1-score, 0.93).     Conclusions     Our proposed method for predicting the occurrence of knee OA showed better performance than other conventional methods that use image data and statistical laboratory data. The findings indicate the feasibility of using text data (symptom descriptions reported by patients and recorded by doctors) to predict knee OA. Medical notes of symptom reports can be considered a valuable data source for predicting whether a particular knee is likely to experience OA progression.</t>
  </si>
  <si>
    <t>https://doi.org/10.2196/64536</t>
  </si>
  <si>
    <t>computational communication;health informatics;natural language processing;artificial intelligence;text mining</t>
  </si>
  <si>
    <t>rayyan-319327366</t>
  </si>
  <si>
    <t>Combating microplastic pollution in Malaysia's marine ecosystems using technological solutions, policy instruments, and public participation: A review</t>
  </si>
  <si>
    <t>Microplastic pollution poses a significant threat to marine ecosystems, impacting biodiversity and human health. These ecosystems, vital for supporting fisheries, regulating climate, and providing recreation, are highly vulnerable to pollutants like microplasticsâ€”tiny plastic particles under 5 mm in size. Microplastics originate from the breakdown of larger plastic debris and the release of microbeads from personal care products. This pollution poses a significant threat to marine ecosystems, affecting biodiversity and human health. The aim of this review is to assess the current state of microplastic pollution in Malaysia's marine environments and to evaluate the effectiveness of technological solutions, policy measures, and public engagement in addressing this challenge. Specifically, the review seeks to examine the role of advancements such as microplastic detection sensors and biodegradable materials, which show potential for mitigating pollution in the aquatic ecosystems. Recent studies show a 20 % improvement in detection accuracy through advanced sensor technologies, enhancing the precision of targeted clean-up operations. Pilot projects using biodegradable polymers have decreased microplastic release by 15 %, pointing to promising shifts in material usage. Stricter plastic waste management regulations have been implemented by the Malaysian government, including plastic bag bans in select states, resulting in a 30 % reduction in plastic bag usage and a corresponding decrease in microplastic inputs to marine ecosystems. Microplastic monitoring programs have led to a rise in public awareness, with a 40 % increase in voluntary clean-ups and a 50 % improvement in public understanding of microplastic issues. These combined effortsâ€”advanced technology, policy enforcement, and community engagementâ€”demonstrate a multi-faceted approach toward reducing microplastic pollution and fostering environmental stewardship in Malaysia. Overall, while advancements in technology, policy, and public engagement offer promise in reducing microplastic pollution, several challenges persist. Key barriers include the lack of a comprehensive national strategy, insufficient enforcement of existing policies, and limited awareness, especially in rural communities. This study underscores the importance of a multi-dimensional approachâ€”combining technological innovations, strengthened regulatory frameworks, and active public participationâ€”to effectively address microplastic pollution in Malaysia's marine ecosystems. The contribution of this work lies in its holistic perspective on combating microplastic pollution, emphasizing the critical roles of technology, policy, and community action. By advocating for integrated efforts, this review provides a foundation for ongoing research, informed policy-making, and community engagement that are essential to preserving marine ecosystems for future.</t>
  </si>
  <si>
    <t>https://doi.org/10.1016/j.hazadv.2024.100542</t>
  </si>
  <si>
    <t>Clean water;Microplastic pollution;Policy instruments;Public participation;Marine ecosystems</t>
  </si>
  <si>
    <t>rayyan-319327660</t>
  </si>
  <si>
    <t>Implementation challenges of disaster risk management policies: The organizational capacities of municipal civil defense units</t>
  </si>
  <si>
    <t>The Sendai Framework for Disaster Risk Reduction has provided recommendations for disaster risk management policies. Several studies have contributed to them, generating knowledge about hazards and vulnerabilities. However, only some studies have delved into the capacities of municipalities to implement these national policies. This article analyzes the needs and organizational capacities of municipal civil defense units in Brazil and discusses cocreated proposals to catalyze national policy implementation at the municipal scale. The problem-oriented research conducted between October 2020 and December 2021 adopted mixed methods, composed of an online survey with 1993 municipalities, interviews with 31 municipalities' representatives across five regions of Brazil, and ten virtual focus groups with 260 participants. The qualitative and quantitative data were analyzed and summarized in five main topics that oriented the coproduction of proposals to catalyze policy implementation at the municipal level. These five main topics were centered on i) the professionalization of civil defense services; ii) funding sources to catalyze the implementation of municipal civil defense actions; iii) improving permanent communication among the national, state, and municipal civil defense units; iv) creating capacity development activities that are tailored to regional and biomesâ€™ specificities; and v) fostering social and cross-sectoral participation in the civil defense policy.</t>
  </si>
  <si>
    <t>https://doi.org/10.1016/j.ijdrr.2025.105291</t>
  </si>
  <si>
    <t>Disaster risk reduction;Governance;Policy implementation;State capacities;Latin America</t>
  </si>
  <si>
    <t>rayyan-319328431</t>
  </si>
  <si>
    <t>From information exposure to legal consciousness: The chain mediating role of political trust and social equality in Chinese college students</t>
  </si>
  <si>
    <t>The cultivation of college students' legal consciousness in the digital media environment is crucial for advancing social responsibility, moral awareness, and rule-of-law societies. However, prior research often assumes a linear positive relationship between information exposure and legal consciousness, overlooking potential negative effects in which algorithmic biases and emotional framing in digital media may weaken legal consciousness. Existing studies rarely explore the chain mediation of political trust and social equality perceptions, particularly lacking empirical tests on Chinese college students. To address these gaps, we propose a chain mediation model examining relationships between information exposure, legal consciousness, political trust, and social equality, and their mediating mechanisms. Using structural equation modeling (SEM), with 213 Chinese college students, we find that information exposure does not enhance legal consciousness and exerts a direct negative effect on it. However, this effect is counterbalanced by two pathways: (1) the independent mediating role of political trust, and (2) the chain mediation through political trust followed by social equality. Consequently, the total indirect and total effects of information exposure on legal consciousness are non-significant. These results challenge the traditionally view that information exposure uniformly promotes positive cognitive empowerment. Specifically, algorithmic biases prioritizing emotional content and ideological shaping that rationalizes trust are key drivers reshaping Chinese college students' legal consciousness through nonlinear pathways.</t>
  </si>
  <si>
    <t>https://doi.org/10.1016/j.actpsy.2025.105428</t>
  </si>
  <si>
    <t>Information exposure;Political trust;Social equality;Legal consciousness;Chinese college students</t>
  </si>
  <si>
    <t>rayyan-319337468</t>
  </si>
  <si>
    <t>A Hybrid Framework Combining Rule-Based and Deep Learning Approaches for Data-Driven Verdict Recommendations</t>
  </si>
  <si>
    <t>As legal cases grow in complexity and volume worldwide, integrating machine learning and artificial intelligence into judicial systems has become a pivotal research focus. This study introduces a comprehensive framework for verdict recommendation that synergizes rule-based methods with deep learning techniques specifically tailored to the legal domain. The proposed framework comprises three core modules: legal feature extraction, semantic similarity assessment, and verdict recommendation. For legal feature extraction, a rule-based approach leverages Blackâ€™s Law Dictionary and WordNet Synsets to construct feature vectors from judicial texts. Semantic similarity between cases is evaluated using a hybrid method that combines rule-based logic with an LSTM model, analyzing the feature vectors of query cases against a legal knowledge base. Verdicts are then recommended through a rule-based retrieval system, enhanced by predefined legal statutes and regulations. By merging rule-based methodologies with deep learning, this framework addresses the interpretability challenges often associated with contemporary AI models, thereby enhancing both transparency and generalizability across diverse legal contexts. The system was rigorously tested using a legal corpus of 43,000 case laws across six categories: Criminal, Revenue, Service, Corporate, Constitutional, and Civil law, ensuring its adaptability across a wide range of judicial scenarios. Performance evaluation showed that the feature extraction module achieved an average accuracy of 91.6% with an F-Score of 95%. The semantic similarity module, tested using Manhattan, Euclidean, and Cosine distance metrics, achieved 88% accuracy and a 93% F-Score for short queries (Manhattan), 89% accuracy and a 93.7% F-Score for medium-length queries (Euclidean), and 87% accuracy with a 92.5% F-Score for longer queries (Cosine). The verdict recommendation module outperformed existing methods, achieving 90% accuracy and a 93.75% F-Score. This study highlights the potential of hybrid AI frameworks to improve judicial decision-making and streamline legal processes, offering a robust, interpretable, and adaptable solution for the evolving demands of modern legal systems.</t>
  </si>
  <si>
    <t>https://doi.org/10.32604/cmc.2025.062340</t>
  </si>
  <si>
    <t>Verdict recommendation;legal knowledge base;judicial text;case laws;semantic similarity;legal domain features;rule-based;deep learning</t>
  </si>
  <si>
    <t>Law</t>
  </si>
  <si>
    <t>rayyan-319337880</t>
  </si>
  <si>
    <t>The protection of AI-based space systems from a data-driven governance perspective</t>
  </si>
  <si>
    <t>Space infrastructures have long represented the pinnacle of technological and engineering achievements. This complexity has been further amplified by the advent of the new space race, where private actors are taking the lead, alongside states, in deploying thousands of satellites in outer space. The outer space environment of 2040 will look very different from today. Spacecraft will necessitate more frequent maneuvers to avoid potential collisions, with the need to be more conscious of their surroundings. Indeed, as the frequency of events and the number of space objects rises, decision-making tasks will increasingly challenge human operators, especially as physical and temporal margins diminish. Such complexity is enveloping thanks to the synergy of space technologies and Artificial Intelligence (AI), which is transforming the functioning of space systems. The forward trajectory clarifies the significance that AI in outer space will retain in the years ahead. The Corpus Juris Spatialis finds itself at a crossroads, faced with the defiance of withstanding the technological advances catalyzed by the impending integration of AI into all facets of space missions. Given the ubiquitous nature of AI, its implementation will invariably pose multifaceted legal challenges across diverse aspects of International Space Law. The acquired autonomy of space assets prompts crucial questions regarding the legal standards applicable to AI in outer space, and how these autonomous space systems should be protected against hostile interference. The main purpose of this paper, presented by the Space Law and Policy Project Group of the Space Generation Advisory Council (SGAC), is to examine the pivotal legal dimensions stemming from the automation of space-based applications from a â€˜data-driven governanceâ€™ standpoint. The increase in production and acquisition of space data will just augment the sophistication of AI systems, therefore necessitating their data assets to be reliable, accurate, and consistent to safeguard the long-term success of AI technologies in space missions. The paper aims to address the overarching legal challenges posed by the integration of AI into outer space operations, specifically on cybersecurity, intellectual property, and data governance, which are critical for safeguarding autonomous systems. By examining the various nuances of these domains, it seeks to contribute to a comprehensive understanding of the legal landscape of the current AI-space pairing. Ultimately, the conclusion will offer a set of recommendations to pave the way for a secure, ethical evolution of autonomous space systems in the near future.</t>
  </si>
  <si>
    <t>https://doi.org/10.1016/j.actaastro.2025.04.063</t>
  </si>
  <si>
    <t>Artificial intelligence;Space law;Intellectual property;Cybersecurity;Data sharing;Dual-use systems</t>
  </si>
  <si>
    <t>rayyan-319864101</t>
  </si>
  <si>
    <t>Constructing a Novel Instrument to Measure Social-Emotional Self-Regulation in Students Aged 8-18</t>
  </si>
  <si>
    <t>Background     The authors identified a need for instruments that measure a task model of self-regulation as opposed to an emotion model of self-regulation. Such instruments are particularly applicable to student populations.     Objective     This paper explains the construction of one such instrument, Steer Tracking. A four-factor bi-polar conceptual model of four necessary self-regulatory tasks is presented: Trust of Self, Trust of Others, Self-Disclosure and Seeking Change.     Methods     A novel assessment method was developed, requiring a participant to imagine a mental space in which they perform the four self-regulatory tasks. The instrument was deployed in populations of students aged 8-18 attending UK primary and secondary schools. Principal Component Analyses evaluated the proposed four-factor structure across two age groups: 8 to 12 years olds (n = 2171) and 13 to 18 years old (n = 658). A Support Vector Machine (SVM) model in a separate sample (n = 2518) evaluated the assessmentâ€™s utility in identifying students who display risk on three wellbeing measures: experiencing bullying, thinking about or engaging in self-harm, and struggling to cope with pressure at school.     Results &amp; Discussion     Analyses provided initial support for the validity of the conceptual model and its ability to identify at-risk students. Key instrument features such as non-standardisation and generalised versus in-school comparison are explained.     Conclusion     Application, relevance and potential benefits of the Steer Tracking instrument for educators and school managers are explored.</t>
  </si>
  <si>
    <t>https://doi.org/10.2174/0118743501284736240327051824</t>
  </si>
  <si>
    <t>Self-regulation;Social-emotional;School;Student;Assessment;Trust;Self-disclosure;Seeking change</t>
  </si>
  <si>
    <t>rayyan-323305436</t>
  </si>
  <si>
    <t>Perspectives of children and young people from Croatia and Bosnia and Herzegovina on their role in challenging perceived social and gender norms impacting school related gender-based violence</t>
  </si>
  <si>
    <t>Child protection and safeguarding has historically tried to â€˜saveâ€™ children from difficult or harmful circumstances and has often failed to recognise childrenâ€™s agency or respect their participation rights. Given the particular socio-historical development of many South and Eastern European countries, the move to more transformative child protection and child safeguarding has been slow in moving away from the reliance on institutional care (Zouev &amp; Unicef, 1999; Anghel, Herczog, Dima, 2013). This article introduces the methodology and empirical findings from an 8-country South and Eastern Europe research study focusing on Croatia and Bosnia and Herzegovina. These two post-communist countries share cultural and political history. The aim was to explore how social and gender norms impact school-related gender-based violence (SRGBV) and the potential role of children in challenging these social norms. Out of this mixed methodology study, with a participatory qualitative approach, researchers used a variety of research instruments with groups of children (aged 13 to 18). This research connects with social norms theory based on Cislaghi and Heise's (2019) dynamic framework that explores social norms as an adaptation of the socio-ecological model (Bronfenbrenner, 1992). This article provides an overview of the overarching concept, methodology, and findings of the study with a particular focus on Croatia and Bosnia and Herzegovina. Findings suggest that children and young people in these two countries witness various forms of violence, contributing to the normalisation of violence. Also, they recognised that if someone is â€œlabelledâ€ on various grounds, such as the socio-economic status of parents, behaviour, gender, nationality, culture, and ability, it is more likely that they will be a victim of violence. On a societal and institutional level, teachers and significant adults are not always perceived as trustworthy. Children pointed out that in Bosnia and Herzegovina, as well as in Croatia, institutions do not defend children's rights at the highest level. They find that the child protection system fails to be just and transparent and often acts on double standards depending on one family's status and influence, leaving vulnerable children at even more risk of being unprotected from different forms of violence. Strategies for prevention, support services and social change, especially for vulnerable children and young people, were identified for further implementation and follow-up research.</t>
  </si>
  <si>
    <t>https://doi.org/10.1016/j.childyouth.2023.107000</t>
  </si>
  <si>
    <t>Childrenâ€™s perspectives;Violence;Child protection;Participatory methods;Social norms;School</t>
  </si>
  <si>
    <t>rayyan-309663859</t>
  </si>
  <si>
    <t>Internet of Things for education: A smart and secure system for schools monitoring and alerting</t>
  </si>
  <si>
    <t>The education system is one of the mechanisms and aspiration to build the society and contribute to human capital, well-being, and wealth. Security and privacy concerns in the educational organization is always significant due to various violent and terrorist activities. Technologies have been adopted for smart learning systems to improve the learning experience whereas security has been neglected inside or outside the institutions. The new integrated technologies have been adopted by using smart monitoring and sensing devices. The main objective of this paper is to analyze the Internet of Things (IoT) solutions specially designed for schools to provide smart and secure systems for educational settings. This paper also proposes a Secure system for the Internet of Schools Things (S-IoST) for smart schools based on a new advanced communication system integrated with 5Â G cellular systems, sensing technologies, intelligent transportation systems, and IoT networks. The proposed system provides a more secure alert mechanism and facilitates the users at school and during mobility to the school or home. The proposed system evaluates in terms of data delivery, time, and response alert parameters .</t>
  </si>
  <si>
    <t>https://doi.org/10.1016/j.compeleceng.2021.107275</t>
  </si>
  <si>
    <t>Smart school;Systems, Security;RFID;GSM;GPS;Activity tracking;Smart bags;Smart school bus;Surveillance camera;Sensor technology;Cybersecurity</t>
  </si>
  <si>
    <t>rayyan-325716144</t>
  </si>
  <si>
    <t>https://www.scopus.com/inward/record.uri?eid=2-s2.0-105003051725&amp;doi=10.1007%2f978-3-031-76473-8_5&amp;partnerID=40&amp;md5=529965e030b3544ffd04d9ad1fe12158</t>
  </si>
  <si>
    <t>rayyan-325716150</t>
  </si>
  <si>
    <t>https://www.scopus.com/inward/record.uri?eid=2-s2.0-85218103177&amp;doi=10.1007%2fs43621-025-00809-6&amp;partnerID=40&amp;md5=d9e568084f4e8132313869389c5be97b</t>
  </si>
  <si>
    <t>As higher education faces technological advancement and environmental imperatives, AI becomes a key instrument for revolutionizing instructional methods and institutional operations. AI can improve educational outcomes, resource management, and long-term sustainability in higher education, according to this study. The research uses case studies and best practices to show how AI-driven innovations can minimize environmental impact, enhance energy efficiency, and customize learning, creating a more sustainable and inclusive academic environment. The document discusses AI ethics, including data privacy, algorithmic prejudice, and the digital divide. It emphasizes the need for strong ethical frameworks to use AI ethically and make decisions with transparency and fairness. The study also emphasizes the need for robust institutional rules and infrastructure to promote ethical AI integration, protecting student privacy and supporting fair access to AI technologies. The research also shows how AI-driven curriculum-building tools can educate students for future sustainability concerns and stimulate research innovation. The prospects and difficulties of AI in higher education are critically examined, including its potential to change traditional educational roles, improve academic performance, and maintain institutional profitability. Actionable recommendations for educators, politicians, and institutional leaders contribute to the education sustainability conversation. Focusing on AI and sustainability creates the framework for a future where technology and environmental stewardship are intimately connected, ensuring that higher education institutions can prosper in a fast-changing world. Â© The Author(s) 2025.</t>
  </si>
  <si>
    <t>artificial intelligence; energy efficiency; environmental impact; ethics; higher education; resou...</t>
  </si>
  <si>
    <t>Scopus</t>
  </si>
  <si>
    <t>ScienceDirect</t>
  </si>
  <si>
    <t>ACM</t>
  </si>
  <si>
    <t>rayyan-325716165</t>
  </si>
  <si>
    <t>Design and Implementation of an Electronic Voting System Using Blockchain Technology</t>
  </si>
  <si>
    <t>E-voting utilizes electronic systems to enhance the efficiency, accessibility, and reliability of casting and counting votes compared to traditional paper-based methods. Blockchain integration into e-voting systems solves critical challenges such as data security, voter anonymity, and election transparency. This paper presents the design and implementation of an e-voting application that uses blockchain to improve the integrity and reliability of election processes. Developed using the Swift programming language, the application features secure user authentication, anonymous voting, and immutable vote storage on a private blockchain network. This research contributes to the growing knowledge body on blockchain applications beyond cryptocurrencies, offering practical insight into its implementation for secure digital governance. The findings underscore the potential of blockchain-based e-voting systems to modernize democratic processes while addressing usability and security issues.</t>
  </si>
  <si>
    <t>10.1109/INFOTEH64129.2025.10959191</t>
  </si>
  <si>
    <t>Electric potential;Privacy;Computer languages;Technological innovation;Scalability;Authentication;Blockchains;Stakeholders;Electronic voting;Usability;Electronic voting;e-Voting;eVoting;blockchain technology;secure voting systems;Swift programming language</t>
  </si>
  <si>
    <t>IEEE</t>
  </si>
  <si>
    <t>rayyan-325716214</t>
  </si>
  <si>
    <t>Tokenization of Digital Assets for Ethical and Equitable Model Training in an AI-Based Proctoring Application</t>
  </si>
  <si>
    <t>The COVID-19 pandemic catalyzed a significant shift in education towards online learning and remote examination processes. AI-based proctoring tools emerged to maintain exam integrity but raised ethical, bias, and privacy concerns. This paper proposes a blockchain-driven architecture to address these issues. Our approach incentivizes genuine data collection through blockchain-powered crowdsourcing, rewarding contributors with crypto tokens. It ensures decentralization by using a voting system to validate labels given by annotators for user images, with winners also receiving tokens. Emphasizing user privacy, our model enables users to retract image access, triggering server image removal and model retraining. To enhance accessibility, our trained models are available as a service through layered APIs accessed via crypto tokens. This proposed architecture aims to reconcile the challenges of online proctoring while prioritizing ethics, fairness, data reliability, and inclusivity.</t>
  </si>
  <si>
    <t>10.1109/CSCI62032.2023.00279</t>
  </si>
  <si>
    <t>Training;Crowdsourcing;COVID-19;Ethics;Privacy;Pandemics;Computer architecture;proctoring;ethics;academic integrity;machine learning;model training;crowdsourcing;blockchain;tokenomics;model as a service</t>
  </si>
  <si>
    <t>rayyan-325716837</t>
  </si>
  <si>
    <t>Transforming Shahjahanabad into a Smart Heritage City Integrating Good Governance, Speech, and IoT Technologies for Sustainable Urban Development</t>
  </si>
  <si>
    <t>This paper proposes transforming Shahjahanabad into a Smart Heritage City by integrating good governance principles, speech technology, and IoT. Good governance, encompassing principles like Accountability, Transparency, Equity &amp; Inclusiveness/ Fairness, Performance/Responsiveness, Effectiveness &amp; Efficiency/ Direction, Participation/ Legitimacy &amp; Voice, is crucial for sustainable development. Speech technology, including multilingual voice recognition and NLP, enhances communication and responsiveness. IoT monitors air quality, traffic, waste management, and energy usage, optimizing resource utilization. Collaboration, cybersecurity, and digital literacy are vital for success. This approach aims to preserve Shahjahanabadâ€™s historical appeal while addressing modern infrastructure and environmental challenges, ultimately enhancing the cityâ€™s livability.Speech technology is crucial for improving communication and accessibility in diverse communities. Multilingual voice recognition and synthesis systems break down language barriers, aiding authorities and citizens.To integrate governance, speech tech, and IoT in Shahjahanabad, partnerships between government, businesses, and communities are essential. Robust cybersecurity and digital literacy programs are needed to protect data and ensure inclusion.Good governance principles are vital for sustainable development. Speech tech enhances communication, and IoT optimizes urban planning. Collaboration, cybersecurity, and digital literacy are key for success in the sustainable development of the heritage city of Shahjahanabad.</t>
  </si>
  <si>
    <t>10.1109/O-COCOSDA60357.2023.10482930</t>
  </si>
  <si>
    <t>Waste management;Urban planning;Government;Collaboration;Speech recognition;Speech enhancement;Resource management;Good governance;Speech technology;Internet of Things;Multilingual voice recognition;Natural language processing</t>
  </si>
  <si>
    <t>Digital platforms have become an increasingly important aspect for society as a source of information. As societiesâ€™ reliance on digital information continues to increase, the proliferation of misinformation and disinformation presents new challenges that must be considered. These challenges, ranging from ethical dilemmas to political manipulation, will be analysed to assess the severity of misinformation and disinformation in a digital era. While exploring the formidable obstacles and challenges facing society, this chapter will examine the untapped potential of artificial intelligence (AI) and machine learning (ML) in combating the spread of false information. By drawing on the advancements in these fields, such as natural language processing, pattern recognition and anomaly detection, this chapter will discuss their viability to combat misinformation. Through the analysis of relevant literature, this chapter will provide a holistic overview of the challenges and opportunities in this domain while drawing on relevant case study examples. As digital landscapes evolve, the need for innovative detection techniques will shed light on the advancements that serve as the defence against the increasing threat of misinformation and disinformation. Content analysis methodologies will be examined to reveal how AI interprets content and verifies factual accuracy, providing insight into the evolving strategies designed to combat misinformation. An examination of algorithmic bias and fairness will highlight the ethical imperatives, ensuring that AI models contribute to the preservation of truth without inadvertently amplifying existing biases that many ML models are susceptible to. Furthermore, it will delve into the challenges of explainability and transparency in AI systems, emphasising the need for interpretable models to build user trust. This chapter will then proceed to analyse the future implications, exploring the potential consequences of AI-driven misinformation and disinformation detection systems on society, where ethical considerations must be prioritised, and the evolving legal frameworks necessary for effective data protection. By integrating insights from computer science, social sciences, law, and ethics, this chapter aims to reveal the path forward in safeguarding truth in the era of AI and ML. Â© The Editor(s) (if applicable) and The Author(s), under exclusive license to Springer Nature Switzerland AG 2024.</t>
  </si>
  <si>
    <t>SN</t>
  </si>
  <si>
    <t>United Kingdom</t>
  </si>
  <si>
    <t>Vietnam</t>
  </si>
  <si>
    <t>Germany</t>
  </si>
  <si>
    <t>United States</t>
  </si>
  <si>
    <t>Macau (China)</t>
  </si>
  <si>
    <t>Australia</t>
  </si>
  <si>
    <t>United States (West Hartford, Connecticut)</t>
  </si>
  <si>
    <t>South Africa</t>
  </si>
  <si>
    <t>Not location-specific (Review; Greece affiliation)</t>
  </si>
  <si>
    <t>United States (Bellingham, Washington)</t>
  </si>
  <si>
    <t>Not clearly specified (Likely United States context)</t>
  </si>
  <si>
    <t>Not location-specific (Germany affiliation)</t>
  </si>
  <si>
    <t>Portugal (Porto)</t>
  </si>
  <si>
    <t>Croatia</t>
  </si>
  <si>
    <t>Not clearly specified (Singapore/Australia context)</t>
  </si>
  <si>
    <t>United Arab Emirates</t>
  </si>
  <si>
    <t>Not location-specific (Conceptual; US/Canada context)</t>
  </si>
  <si>
    <t>Canada</t>
  </si>
  <si>
    <t>Not location-specific (Conceptual; Israel context)</t>
  </si>
  <si>
    <t>Thailand</t>
  </si>
  <si>
    <t>Malaysia</t>
  </si>
  <si>
    <t>Brazil</t>
  </si>
  <si>
    <t>China</t>
  </si>
  <si>
    <t>Not clearly specified</t>
  </si>
  <si>
    <t>Not location-specific (Multi-country affiliations)</t>
  </si>
  <si>
    <t>Unclear (Verify full text)</t>
  </si>
  <si>
    <t>Croatia; Bosnia and Herzegovina</t>
  </si>
  <si>
    <t>Not location-specific</t>
  </si>
  <si>
    <t>Serbia</t>
  </si>
  <si>
    <t>Japan</t>
  </si>
  <si>
    <t>Pakistan</t>
  </si>
  <si>
    <t>Location</t>
  </si>
  <si>
    <t>Artificial intelligence; Disinformation; Ethical considerations; Machine learning; Misinformation</t>
  </si>
  <si>
    <t>Assessing the Application of Artificial Intelligence and Machine Learning in Detecting Misinformation and Disinformation</t>
  </si>
  <si>
    <t>Harnessing AI for sustainable higher education: ethical considerations, operational efficiency, and future directions</t>
  </si>
  <si>
    <t>Ethical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</si>
</sst>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Fill="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opus.com/inward/record.uri?eid=2-s2.0-105003051725&amp;doi=10.1007%2f978-3-031-76473-8_5&amp;partnerID=40&amp;md5=529965e030b3544ffd04d9ad1fe12158" TargetMode="External"/><Relationship Id="rId2" Type="http://schemas.openxmlformats.org/officeDocument/2006/relationships/hyperlink" Target="https://www.scopus.com/inward/record.uri?eid=2-s2.0-85218103177&amp;doi=10.1007%2fs43621-025-00809-6&amp;partnerID=40&amp;md5=d9e568084f4e8132313869389c5be97b" TargetMode="External"/><Relationship Id="rId1" Type="http://schemas.openxmlformats.org/officeDocument/2006/relationships/hyperlink" Target="https://doi.org/10.1016/j.compeleceng.2021.1072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2C75-F9C8-4960-8E70-1BC5F4F6E998}">
  <dimension ref="A1:L38"/>
  <sheetViews>
    <sheetView tabSelected="1" zoomScale="70" zoomScaleNormal="70" workbookViewId="0">
      <selection activeCell="L2" sqref="L2"/>
    </sheetView>
  </sheetViews>
  <sheetFormatPr defaultRowHeight="15" x14ac:dyDescent="0.25"/>
  <cols>
    <col min="2" max="2" width="34" customWidth="1"/>
    <col min="4" max="4" width="49" customWidth="1"/>
    <col min="12" max="12" width="39.7109375" customWidth="1"/>
  </cols>
  <sheetData>
    <row r="1" spans="1:12" x14ac:dyDescent="0.25">
      <c r="A1" t="s">
        <v>195</v>
      </c>
      <c r="B1" t="s">
        <v>0</v>
      </c>
      <c r="C1" t="s">
        <v>1</v>
      </c>
      <c r="D1" t="s">
        <v>2</v>
      </c>
      <c r="E1" t="s">
        <v>3</v>
      </c>
      <c r="F1" t="s">
        <v>4</v>
      </c>
      <c r="G1" t="s">
        <v>5</v>
      </c>
      <c r="H1" t="s">
        <v>6</v>
      </c>
      <c r="K1" t="s">
        <v>227</v>
      </c>
      <c r="L1" t="s">
        <v>231</v>
      </c>
    </row>
    <row r="2" spans="1:12" x14ac:dyDescent="0.25">
      <c r="A2" t="s">
        <v>7</v>
      </c>
      <c r="B2" t="s">
        <v>8</v>
      </c>
      <c r="C2">
        <v>2025</v>
      </c>
      <c r="D2" t="s">
        <v>9</v>
      </c>
      <c r="E2" t="s">
        <v>10</v>
      </c>
      <c r="F2" t="s">
        <v>11</v>
      </c>
      <c r="G2" t="s">
        <v>12</v>
      </c>
      <c r="H2" t="s">
        <v>13</v>
      </c>
      <c r="I2" t="s">
        <v>176</v>
      </c>
      <c r="K2" t="s">
        <v>196</v>
      </c>
      <c r="L2" t="str" cm="1">
        <f t="array" ref="L2">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
))</f>
        <v>regulat, guideline, robust, safe, risk, assurance</v>
      </c>
    </row>
    <row r="3" spans="1:12" x14ac:dyDescent="0.25">
      <c r="A3" t="s">
        <v>14</v>
      </c>
      <c r="B3" t="s">
        <v>15</v>
      </c>
      <c r="C3">
        <v>2025</v>
      </c>
      <c r="D3" t="s">
        <v>16</v>
      </c>
      <c r="E3" t="s">
        <v>17</v>
      </c>
      <c r="F3" t="s">
        <v>18</v>
      </c>
      <c r="G3" t="s">
        <v>12</v>
      </c>
      <c r="H3" t="s">
        <v>13</v>
      </c>
      <c r="I3" t="s">
        <v>176</v>
      </c>
      <c r="K3" t="s">
        <v>197</v>
      </c>
      <c r="L3" t="str" cm="1">
        <f t="array" ref="L3">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
))</f>
        <v>report, reliab, valid</v>
      </c>
    </row>
    <row r="4" spans="1:12" x14ac:dyDescent="0.25">
      <c r="A4" t="s">
        <v>19</v>
      </c>
      <c r="B4" t="s">
        <v>20</v>
      </c>
      <c r="C4">
        <v>2025</v>
      </c>
      <c r="D4" t="s">
        <v>21</v>
      </c>
      <c r="E4" t="s">
        <v>22</v>
      </c>
      <c r="F4" t="s">
        <v>23</v>
      </c>
      <c r="G4" t="s">
        <v>24</v>
      </c>
      <c r="H4" t="s">
        <v>13</v>
      </c>
      <c r="I4" t="s">
        <v>176</v>
      </c>
      <c r="K4" t="s">
        <v>198</v>
      </c>
      <c r="L4" t="str" cm="1">
        <f t="array" ref="L4">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D4))
))</f>
        <v>regulat, equity, depend</v>
      </c>
    </row>
    <row r="5" spans="1:12" x14ac:dyDescent="0.25">
      <c r="A5" t="s">
        <v>25</v>
      </c>
      <c r="B5" t="s">
        <v>26</v>
      </c>
      <c r="C5">
        <v>2025</v>
      </c>
      <c r="D5" t="s">
        <v>27</v>
      </c>
      <c r="E5" t="s">
        <v>28</v>
      </c>
      <c r="F5" t="s">
        <v>29</v>
      </c>
      <c r="G5" t="s">
        <v>12</v>
      </c>
      <c r="H5" t="s">
        <v>13</v>
      </c>
      <c r="I5" t="s">
        <v>176</v>
      </c>
      <c r="K5" t="s">
        <v>199</v>
      </c>
      <c r="L5" t="str" cm="1">
        <f t="array" ref="L5">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D5))
))</f>
        <v>audit, report, framework, consistent</v>
      </c>
    </row>
    <row r="6" spans="1:12" x14ac:dyDescent="0.25">
      <c r="A6" t="s">
        <v>30</v>
      </c>
      <c r="B6" t="s">
        <v>31</v>
      </c>
      <c r="C6">
        <v>2025</v>
      </c>
      <c r="D6" t="s">
        <v>32</v>
      </c>
      <c r="E6" t="s">
        <v>33</v>
      </c>
      <c r="F6" t="s">
        <v>34</v>
      </c>
      <c r="G6" t="s">
        <v>12</v>
      </c>
      <c r="H6" t="s">
        <v>13</v>
      </c>
      <c r="I6" t="s">
        <v>176</v>
      </c>
      <c r="K6" t="s">
        <v>200</v>
      </c>
      <c r="L6" t="str" cm="1">
        <f t="array" ref="L6">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D6))
))</f>
        <v>report, robust</v>
      </c>
    </row>
    <row r="7" spans="1:12" x14ac:dyDescent="0.25">
      <c r="A7" t="s">
        <v>35</v>
      </c>
      <c r="B7" t="s">
        <v>36</v>
      </c>
      <c r="C7">
        <v>2025</v>
      </c>
      <c r="D7" t="s">
        <v>37</v>
      </c>
      <c r="E7" t="s">
        <v>38</v>
      </c>
      <c r="F7" t="s">
        <v>39</v>
      </c>
      <c r="G7" t="s">
        <v>12</v>
      </c>
      <c r="H7" t="s">
        <v>13</v>
      </c>
      <c r="I7" t="s">
        <v>176</v>
      </c>
      <c r="K7" t="s">
        <v>201</v>
      </c>
      <c r="L7" t="str" cm="1">
        <f t="array" ref="L7">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D7))
))</f>
        <v>regulat, risk, valid</v>
      </c>
    </row>
    <row r="8" spans="1:12" s="1" customFormat="1" x14ac:dyDescent="0.25">
      <c r="A8" s="1" t="s">
        <v>40</v>
      </c>
      <c r="B8" s="1" t="s">
        <v>41</v>
      </c>
      <c r="C8" s="1">
        <v>2022</v>
      </c>
      <c r="D8" s="1" t="s">
        <v>42</v>
      </c>
      <c r="E8" s="1" t="s">
        <v>43</v>
      </c>
      <c r="F8" s="1" t="s">
        <v>44</v>
      </c>
      <c r="G8" s="1" t="s">
        <v>45</v>
      </c>
      <c r="H8" s="1" t="str" cm="1">
        <f t="array" ref="H8">IF(AND(
SUM(--ISNUMBER(SEARCH({"explain","interpret","transparent","accountab","ethic","govern","oversight","audit","compliance","disclosure","responsib","traceab","justif","document","report","regulat","policy","standard","guideline","framework","monitor","review","assess"},D8)))&gt;0,
SUM(--ISNUMBER(SEARCH({"fair","bias","equity","reliab","robust","depend","trust","confidence","credible","safe","secure","privacy","risk","uncertain","certainty","consistent","valid","accuracy","assurance","accept","satisf"},D8)))&gt;0
),"Yes","No")</f>
        <v>Yes</v>
      </c>
      <c r="I8" s="1" t="s">
        <v>177</v>
      </c>
      <c r="K8" t="s">
        <v>202</v>
      </c>
      <c r="L8" t="str" cm="1">
        <f t="array" ref="L8">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D8))
))</f>
        <v>ethic, govern, fair, bias, risk</v>
      </c>
    </row>
    <row r="9" spans="1:12" x14ac:dyDescent="0.25">
      <c r="A9" t="s">
        <v>46</v>
      </c>
      <c r="B9" t="s">
        <v>47</v>
      </c>
      <c r="C9">
        <v>2023</v>
      </c>
      <c r="D9" t="s">
        <v>48</v>
      </c>
      <c r="E9" t="s">
        <v>49</v>
      </c>
      <c r="F9" t="s">
        <v>50</v>
      </c>
      <c r="G9" t="s">
        <v>24</v>
      </c>
      <c r="H9" t="s">
        <v>13</v>
      </c>
      <c r="I9" s="1" t="s">
        <v>177</v>
      </c>
      <c r="K9" t="s">
        <v>203</v>
      </c>
      <c r="L9" t="str" cm="1">
        <f t="array" ref="L9">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D9))
))</f>
        <v>ethic, framework, fair, depend, trust, safe</v>
      </c>
    </row>
    <row r="10" spans="1:12" x14ac:dyDescent="0.25">
      <c r="A10" t="s">
        <v>51</v>
      </c>
      <c r="B10" t="s">
        <v>52</v>
      </c>
      <c r="C10">
        <v>2022</v>
      </c>
      <c r="D10" t="s">
        <v>53</v>
      </c>
      <c r="E10" t="s">
        <v>54</v>
      </c>
      <c r="F10" t="s">
        <v>55</v>
      </c>
      <c r="G10" t="s">
        <v>24</v>
      </c>
      <c r="H10" t="s">
        <v>13</v>
      </c>
      <c r="I10" s="1" t="s">
        <v>177</v>
      </c>
      <c r="K10" t="s">
        <v>204</v>
      </c>
      <c r="L10" t="str" cm="1">
        <f t="array" ref="L10">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D10))
))</f>
        <v>explain, interpret, ethic, audit, framework, review, fair, reliab, robust, trust</v>
      </c>
    </row>
    <row r="11" spans="1:12" x14ac:dyDescent="0.25">
      <c r="A11" t="s">
        <v>56</v>
      </c>
      <c r="B11" t="s">
        <v>57</v>
      </c>
      <c r="C11">
        <v>2022</v>
      </c>
      <c r="D11" t="s">
        <v>58</v>
      </c>
      <c r="E11" t="s">
        <v>59</v>
      </c>
      <c r="F11" t="s">
        <v>60</v>
      </c>
      <c r="G11" t="s">
        <v>24</v>
      </c>
      <c r="H11" t="s">
        <v>13</v>
      </c>
      <c r="I11" s="1" t="s">
        <v>177</v>
      </c>
      <c r="K11" t="s">
        <v>205</v>
      </c>
      <c r="L11" t="str" cm="1">
        <f t="array" ref="L11">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D11))
))</f>
        <v>ethic, fair, bias</v>
      </c>
    </row>
    <row r="12" spans="1:12" x14ac:dyDescent="0.25">
      <c r="A12" t="s">
        <v>61</v>
      </c>
      <c r="B12" t="s">
        <v>62</v>
      </c>
      <c r="C12">
        <v>2023</v>
      </c>
      <c r="D12" t="s">
        <v>63</v>
      </c>
      <c r="E12" t="s">
        <v>64</v>
      </c>
      <c r="F12" t="s">
        <v>65</v>
      </c>
      <c r="G12" t="s">
        <v>24</v>
      </c>
      <c r="H12" t="s">
        <v>13</v>
      </c>
      <c r="I12" s="1" t="s">
        <v>177</v>
      </c>
      <c r="K12" t="s">
        <v>206</v>
      </c>
      <c r="L12" t="str" cm="1">
        <f t="array" ref="L12">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D12))
))</f>
        <v>ethic, policy, fair, valid, accuracy</v>
      </c>
    </row>
    <row r="13" spans="1:12" x14ac:dyDescent="0.25">
      <c r="A13" t="s">
        <v>66</v>
      </c>
      <c r="B13" t="s">
        <v>67</v>
      </c>
      <c r="C13">
        <v>2022</v>
      </c>
      <c r="D13" t="s">
        <v>68</v>
      </c>
      <c r="E13" t="s">
        <v>69</v>
      </c>
      <c r="F13" t="s">
        <v>70</v>
      </c>
      <c r="G13" t="s">
        <v>24</v>
      </c>
      <c r="H13" t="s">
        <v>13</v>
      </c>
      <c r="I13" s="1" t="s">
        <v>177</v>
      </c>
      <c r="K13" t="s">
        <v>207</v>
      </c>
      <c r="L13" t="str" cm="1">
        <f t="array" ref="L13">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D13))
))</f>
        <v>explain, transparent, ethic, guideline, trust, privacy</v>
      </c>
    </row>
    <row r="14" spans="1:12" x14ac:dyDescent="0.25">
      <c r="A14" t="s">
        <v>71</v>
      </c>
      <c r="B14" t="s">
        <v>72</v>
      </c>
      <c r="C14">
        <v>2022</v>
      </c>
      <c r="D14" t="s">
        <v>73</v>
      </c>
      <c r="E14" t="s">
        <v>74</v>
      </c>
      <c r="F14" t="s">
        <v>75</v>
      </c>
      <c r="G14" t="s">
        <v>24</v>
      </c>
      <c r="H14" t="s">
        <v>13</v>
      </c>
      <c r="I14" s="1" t="s">
        <v>177</v>
      </c>
      <c r="K14" t="s">
        <v>208</v>
      </c>
      <c r="L14" t="str" cm="1">
        <f t="array" ref="L14">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D14))
))</f>
        <v>explain, interpret, accountab, ethic, govern, responsib, fair, bias, risk</v>
      </c>
    </row>
    <row r="15" spans="1:12" x14ac:dyDescent="0.25">
      <c r="A15" t="s">
        <v>76</v>
      </c>
      <c r="B15" t="s">
        <v>77</v>
      </c>
      <c r="C15">
        <v>2023</v>
      </c>
      <c r="D15" t="s">
        <v>78</v>
      </c>
      <c r="E15" t="s">
        <v>79</v>
      </c>
      <c r="F15" t="s">
        <v>80</v>
      </c>
      <c r="G15" t="s">
        <v>24</v>
      </c>
      <c r="H15" t="s">
        <v>13</v>
      </c>
      <c r="I15" s="1" t="s">
        <v>177</v>
      </c>
      <c r="K15" t="s">
        <v>199</v>
      </c>
      <c r="L15" t="str" cm="1">
        <f t="array" ref="L15">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D15))
))</f>
        <v>ethic, fair, bias, risk</v>
      </c>
    </row>
    <row r="16" spans="1:12" x14ac:dyDescent="0.25">
      <c r="A16" t="s">
        <v>81</v>
      </c>
      <c r="B16" t="s">
        <v>82</v>
      </c>
      <c r="C16">
        <v>2023</v>
      </c>
      <c r="D16" t="s">
        <v>83</v>
      </c>
      <c r="E16" t="s">
        <v>84</v>
      </c>
      <c r="F16" t="s">
        <v>85</v>
      </c>
      <c r="G16" t="s">
        <v>12</v>
      </c>
      <c r="H16" t="str" cm="1">
        <f t="array" ref="H16">IF(AND(
SUM(--ISNUMBER(SEARCH({"explain","interpret","transparent","accountab","ethic","govern","oversight","audit","compliance","disclosure","responsib","traceab","justif","document","report","regulat","policy","standard","guideline","framework","monitor","review","assess"},D16)))&gt;0,
SUM(--ISNUMBER(SEARCH({"fair","bias","equity","reliab","robust","depend","trust","confidence","credible","safe","secure","privacy","risk","uncertain","certainty","consistent","valid","accuracy","assurance","accept","satisf"},D16)))&gt;0
),"Yes","No")</f>
        <v>Yes</v>
      </c>
      <c r="I16" t="s">
        <v>176</v>
      </c>
      <c r="K16" t="s">
        <v>209</v>
      </c>
      <c r="L16" t="str" cm="1">
        <f t="array" ref="L16">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D16))
))</f>
        <v>assess, risk</v>
      </c>
    </row>
    <row r="17" spans="1:12" x14ac:dyDescent="0.25">
      <c r="A17" t="s">
        <v>86</v>
      </c>
      <c r="B17" t="s">
        <v>87</v>
      </c>
      <c r="C17">
        <v>2025</v>
      </c>
      <c r="D17" t="s">
        <v>88</v>
      </c>
      <c r="E17" t="s">
        <v>89</v>
      </c>
      <c r="F17" t="s">
        <v>90</v>
      </c>
      <c r="G17" t="str">
        <f>IF(OR(
ISNUMBER(SEARCH("tech",F17)),
ISNUMBER(SEARCH("AI",F17)),
ISNUMBER(SEARCH("software",F17)),
ISNUMBER(SEARCH("data",F17)),
ISNUMBER(SEARCH("digital",F17))
),"Technology",
IF(OR(
ISNUMBER(SEARCH("health",F17)),
ISNUMBER(SEARCH("medical",F17)),
ISNUMBER(SEARCH("clinical",F17)),
ISNUMBER(SEARCH("hospital",F17)),
ISNUMBER(SEARCH("patient",F17))
),"Health",
IF(OR(
ISNUMBER(SEARCH("education",F17)),
ISNUMBER(SEARCH("learning",F17)),
ISNUMBER(SEARCH("school",F17)),
ISNUMBER(SEARCH("training",F17)),
ISNUMBER(SEARCH("curriculum",F17))
),"Education",
IF(OR(
ISNUMBER(SEARCH("hiring",F17)),
ISNUMBER(SEARCH("recruit",F17)),
ISNUMBER(SEARCH("employment",F17)),
ISNUMBER(SEARCH("talent",F17)),
ISNUMBER(SEARCH("HR",F17))
),"Hiring",
IF(OR(
ISNUMBER(SEARCH("law",F17)),
ISNUMBER(SEARCH("legal",F17)),
ISNUMBER(SEARCH("regulation",F17)),
ISNUMBER(SEARCH("compliance",F17)),
ISNUMBER(SEARCH("policy",F17))
),"Law","Other")))))</f>
        <v>Law</v>
      </c>
      <c r="H17" t="str" cm="1">
        <f t="array" ref="H17">IF(AND(
SUM(--ISNUMBER(SEARCH({"explain","interpret","transparent","accountab","ethic","govern","oversight","audit","compliance","disclosure","responsib","traceab","justif","document","report","regulat","policy","standard","guideline","framework","monitor","review","assess"},D17)))&gt;0,
SUM(--ISNUMBER(SEARCH({"fair","bias","equity","reliab","robust","depend","trust","confidence","credible","safe","secure","privacy","risk","uncertain","certainty","consistent","valid","accuracy","assurance","accept","satisf"},D17)))&gt;0
),"Yes","No")</f>
        <v>Yes</v>
      </c>
      <c r="I17" t="s">
        <v>176</v>
      </c>
      <c r="K17" t="s">
        <v>210</v>
      </c>
      <c r="L17" t="str" cm="1">
        <f t="array" ref="L17">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D17))
))</f>
        <v>ethic, govern, policy, framework, assess, accept</v>
      </c>
    </row>
    <row r="18" spans="1:12" x14ac:dyDescent="0.25">
      <c r="A18" t="s">
        <v>91</v>
      </c>
      <c r="B18" t="s">
        <v>92</v>
      </c>
      <c r="C18">
        <v>2025</v>
      </c>
      <c r="D18" t="s">
        <v>93</v>
      </c>
      <c r="E18" t="s">
        <v>94</v>
      </c>
      <c r="F18" t="s">
        <v>95</v>
      </c>
      <c r="G18" t="s">
        <v>96</v>
      </c>
      <c r="H18" t="str" cm="1">
        <f t="array" ref="H18">IF(AND(
SUM(--ISNUMBER(SEARCH({"explain","interpret","transparent","accountab","ethic","govern","oversight","audit","compliance","disclosure","responsib","traceab","justif","document","report","regulat","policy","standard","guideline","framework","monitor","review","assess"},D18)))&gt;0,
SUM(--ISNUMBER(SEARCH({"fair","bias","equity","reliab","robust","depend","trust","confidence","credible","safe","secure","privacy","risk","uncertain","certainty","consistent","valid","accuracy","assurance","accept","satisf"},D18)))&gt;0
),"Yes","No")</f>
        <v>Yes</v>
      </c>
      <c r="I18" t="s">
        <v>176</v>
      </c>
      <c r="K18" t="s">
        <v>198</v>
      </c>
      <c r="L18" t="str" cm="1">
        <f t="array" ref="L18">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D18))
))</f>
        <v>framework, uncertain, certainty</v>
      </c>
    </row>
    <row r="19" spans="1:12" x14ac:dyDescent="0.25">
      <c r="A19" t="s">
        <v>97</v>
      </c>
      <c r="B19" t="s">
        <v>98</v>
      </c>
      <c r="C19">
        <v>2025</v>
      </c>
      <c r="D19" t="s">
        <v>99</v>
      </c>
      <c r="E19" t="s">
        <v>100</v>
      </c>
      <c r="F19" t="s">
        <v>101</v>
      </c>
      <c r="G19" t="s">
        <v>96</v>
      </c>
      <c r="H19" t="str" cm="1">
        <f t="array" ref="H19">IF(AND(
SUM(--ISNUMBER(SEARCH({"explain","interpret","transparent","accountab","ethic","govern","oversight","audit","compliance","disclosure","responsib","traceab","justif","document","report","regulat","policy","standard","guideline","framework","monitor","review","assess"},D19)))&gt;0,
SUM(--ISNUMBER(SEARCH({"fair","bias","equity","reliab","robust","depend","trust","confidence","credible","safe","secure","privacy","risk","uncertain","certainty","consistent","valid","accuracy","assurance","accept","satisf"},D19)))&gt;0
),"Yes","No")</f>
        <v>Yes</v>
      </c>
      <c r="I19" t="s">
        <v>176</v>
      </c>
      <c r="K19" t="s">
        <v>211</v>
      </c>
      <c r="L19" t="str" cm="1">
        <f t="array" ref="L19">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D19))
))</f>
        <v>policy, framework, fair</v>
      </c>
    </row>
    <row r="20" spans="1:12" x14ac:dyDescent="0.25">
      <c r="A20" t="s">
        <v>102</v>
      </c>
      <c r="B20" t="s">
        <v>103</v>
      </c>
      <c r="C20">
        <v>2024</v>
      </c>
      <c r="D20" t="s">
        <v>104</v>
      </c>
      <c r="E20" t="s">
        <v>105</v>
      </c>
      <c r="F20" t="s">
        <v>106</v>
      </c>
      <c r="G20" t="s">
        <v>96</v>
      </c>
      <c r="H20" t="str" cm="1">
        <f t="array" ref="H20">IF(AND(
SUM(--ISNUMBER(SEARCH({"explain","interpret","transparent","accountab","ethic","govern","oversight","audit","compliance","disclosure","responsib","traceab","justif","document","report","regulat","policy","standard","guideline","framework","monitor","review","assess"},D20)))&gt;0,
SUM(--ISNUMBER(SEARCH({"fair","bias","equity","reliab","robust","depend","trust","confidence","credible","safe","secure","privacy","risk","uncertain","certainty","consistent","valid","accuracy","assurance","accept","satisf"},D20)))&gt;0
),"Yes","No")</f>
        <v>Yes</v>
      </c>
      <c r="I20" t="s">
        <v>176</v>
      </c>
      <c r="K20" t="s">
        <v>198</v>
      </c>
      <c r="L20" t="str" cm="1">
        <f t="array" ref="L20">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D20))
))</f>
        <v>framework, fair</v>
      </c>
    </row>
    <row r="21" spans="1:12" x14ac:dyDescent="0.25">
      <c r="A21" t="s">
        <v>107</v>
      </c>
      <c r="B21" t="s">
        <v>108</v>
      </c>
      <c r="C21">
        <v>2024</v>
      </c>
      <c r="D21" t="s">
        <v>109</v>
      </c>
      <c r="E21" t="s">
        <v>110</v>
      </c>
      <c r="F21" t="s">
        <v>111</v>
      </c>
      <c r="G21" t="str">
        <f>IF(OR(
ISNUMBER(SEARCH("tech",D22)),
ISNUMBER(SEARCH("AI",D22)),
ISNUMBER(SEARCH("software",D22)),
ISNUMBER(SEARCH("data",D22)),
ISNUMBER(SEARCH("digital",D22))
),"Technology",
IF(OR(
ISNUMBER(SEARCH("health",D22)),
ISNUMBER(SEARCH("medical",D22)),
ISNUMBER(SEARCH("clinical",D22)),
ISNUMBER(SEARCH("hospital",D22)),
ISNUMBER(SEARCH("patient",D22))
),"Health",
IF(OR(
ISNUMBER(SEARCH("education",D22)),
ISNUMBER(SEARCH("learning",D22)),
ISNUMBER(SEARCH("school",D22)),
ISNUMBER(SEARCH("training",D22)),
ISNUMBER(SEARCH("curriculum",D22))
),"Education",
IF(OR(
ISNUMBER(SEARCH("hiring",D22)),
ISNUMBER(SEARCH("recruit",D22)),
ISNUMBER(SEARCH("employment",D22)),
ISNUMBER(SEARCH("talent",D22)),
ISNUMBER(SEARCH("HR",D22))
),"Hiring",
IF(OR(
ISNUMBER(SEARCH("law",D22)),
ISNUMBER(SEARCH("legal",D22)),
ISNUMBER(SEARCH("regulation",D22)),
ISNUMBER(SEARCH("compliance",D22)),
ISNUMBER(SEARCH("policy",D22))
),"Law","Other")))))</f>
        <v>Technology</v>
      </c>
      <c r="H21" t="str" cm="1">
        <f t="array" ref="H21">IF(AND(
SUM(--ISNUMBER(SEARCH({"explain","interpret","transparent","accountab","ethic","govern","oversight","audit","compliance","disclosure","responsib","traceab","justif","document","report","regulat","policy","standard","guideline","framework","monitor","review","assess"},D21)))&gt;0,
SUM(--ISNUMBER(SEARCH({"fair","bias","equity","reliab","robust","depend","trust","confidence","credible","safe","secure","privacy","risk","uncertain","certainty","consistent","valid","accuracy","assurance","accept","satisf"},D21)))&gt;0
),"Yes","No")</f>
        <v>Yes</v>
      </c>
      <c r="I21" t="s">
        <v>176</v>
      </c>
      <c r="K21" t="s">
        <v>212</v>
      </c>
      <c r="L21" t="str" cm="1">
        <f t="array" ref="L21">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D21))
))</f>
        <v>ethic, framework, privacy, risk</v>
      </c>
    </row>
    <row r="22" spans="1:12" x14ac:dyDescent="0.25">
      <c r="A22" t="s">
        <v>112</v>
      </c>
      <c r="B22" t="s">
        <v>113</v>
      </c>
      <c r="C22">
        <v>2024</v>
      </c>
      <c r="D22" t="s">
        <v>114</v>
      </c>
      <c r="E22" t="s">
        <v>115</v>
      </c>
      <c r="F22" t="s">
        <v>116</v>
      </c>
      <c r="G22" t="s">
        <v>45</v>
      </c>
      <c r="H22" t="str" cm="1">
        <f t="array" ref="H22">IF(AND(
SUM(--ISNUMBER(SEARCH({"explain","interpret","transparent","accountab","ethic","govern","oversight","audit","compliance","disclosure","responsib","traceab","justif","document","report","regulat","policy","standard","guideline","framework","monitor","review","assess"},D22)))&gt;0,
SUM(--ISNUMBER(SEARCH({"fair","bias","equity","reliab","robust","depend","trust","confidence","credible","safe","secure","privacy","risk","uncertain","certainty","consistent","valid","accuracy","assurance","accept","satisf"},D22)))&gt;0
),"Yes","No")</f>
        <v>Yes</v>
      </c>
      <c r="I22" t="s">
        <v>176</v>
      </c>
      <c r="K22" t="s">
        <v>213</v>
      </c>
      <c r="L22" t="str" cm="1">
        <f t="array" ref="L22">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D22))
))</f>
        <v>framework, assess, valid</v>
      </c>
    </row>
    <row r="23" spans="1:12" x14ac:dyDescent="0.25">
      <c r="A23" t="s">
        <v>117</v>
      </c>
      <c r="B23" t="s">
        <v>118</v>
      </c>
      <c r="C23">
        <v>2025</v>
      </c>
      <c r="D23" t="s">
        <v>119</v>
      </c>
      <c r="E23" t="s">
        <v>120</v>
      </c>
      <c r="F23" t="s">
        <v>121</v>
      </c>
      <c r="G23" t="s">
        <v>96</v>
      </c>
      <c r="H23" t="str" cm="1">
        <f t="array" ref="H23">IF(AND(
SUM(--ISNUMBER(SEARCH({"explain","interpret","transparent","accountab","ethic","govern","oversight","audit","compliance","disclosure","responsib","traceab","justif","document","report","regulat","policy","standard","guideline","framework","monitor","review","assess"},D23)))&gt;0,
SUM(--ISNUMBER(SEARCH({"fair","bias","equity","reliab","robust","depend","trust","confidence","credible","safe","secure","privacy","risk","uncertain","certainty","consistent","valid","accuracy","assurance","accept","satisf"},D23)))&gt;0
),"Yes","No")</f>
        <v>Yes</v>
      </c>
      <c r="I23" t="s">
        <v>176</v>
      </c>
      <c r="K23" t="s">
        <v>214</v>
      </c>
      <c r="L23" t="str" cm="1">
        <f t="array" ref="L23">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D23))
))</f>
        <v>explain, report, accept</v>
      </c>
    </row>
    <row r="24" spans="1:12" x14ac:dyDescent="0.25">
      <c r="A24" t="s">
        <v>122</v>
      </c>
      <c r="B24" t="s">
        <v>108</v>
      </c>
      <c r="C24">
        <v>2024</v>
      </c>
      <c r="D24" t="s">
        <v>109</v>
      </c>
      <c r="E24" t="s">
        <v>110</v>
      </c>
      <c r="F24" t="s">
        <v>111</v>
      </c>
      <c r="G24" t="s">
        <v>96</v>
      </c>
      <c r="H24" t="str" cm="1">
        <f t="array" ref="H24">IF(AND(
SUM(--ISNUMBER(SEARCH({"explain","interpret","transparent","accountab","ethic","govern","oversight","audit","compliance","disclosure","responsib","traceab","justif","document","report","regulat","policy","standard","guideline","framework","monitor","review","assess"},D24)))&gt;0,
SUM(--ISNUMBER(SEARCH({"fair","bias","equity","reliab","robust","depend","trust","confidence","credible","safe","secure","privacy","risk","uncertain","certainty","consistent","valid","accuracy","assurance","accept","satisf"},D24)))&gt;0
),"Yes","No")</f>
        <v>Yes</v>
      </c>
      <c r="I24" t="s">
        <v>176</v>
      </c>
      <c r="K24" t="s">
        <v>215</v>
      </c>
      <c r="L24" t="str" cm="1">
        <f t="array" ref="L24">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D24))
))</f>
        <v>ethic, framework, privacy, risk</v>
      </c>
    </row>
    <row r="25" spans="1:12" x14ac:dyDescent="0.25">
      <c r="A25" t="s">
        <v>123</v>
      </c>
      <c r="B25" t="s">
        <v>124</v>
      </c>
      <c r="C25">
        <v>2025</v>
      </c>
      <c r="D25" t="s">
        <v>125</v>
      </c>
      <c r="E25" t="s">
        <v>126</v>
      </c>
      <c r="F25" t="s">
        <v>127</v>
      </c>
      <c r="G25" t="str">
        <f>IF(OR(
ISNUMBER(SEARCH("tech",F25)),
ISNUMBER(SEARCH("AI",F25)),
ISNUMBER(SEARCH("software",F25)),
ISNUMBER(SEARCH("data",F25)),
ISNUMBER(SEARCH("digital",F25))
),"Technology",
IF(OR(
ISNUMBER(SEARCH("health",F25)),
ISNUMBER(SEARCH("medical",F25)),
ISNUMBER(SEARCH("clinical",F25)),
ISNUMBER(SEARCH("hospital",F25)),
ISNUMBER(SEARCH("patient",F25))
),"Health",
IF(OR(
ISNUMBER(SEARCH("education",F25)),
ISNUMBER(SEARCH("learning",F25)),
ISNUMBER(SEARCH("school",F25)),
ISNUMBER(SEARCH("training",F25)),
ISNUMBER(SEARCH("curriculum",F25))
),"Education",
IF(OR(
ISNUMBER(SEARCH("hiring",F25)),
ISNUMBER(SEARCH("recruit",F25)),
ISNUMBER(SEARCH("employment",F25)),
ISNUMBER(SEARCH("talent",F25)),
ISNUMBER(SEARCH("HR",F25))
),"Hiring",
IF(OR(
ISNUMBER(SEARCH("law",F25)),
ISNUMBER(SEARCH("legal",F25)),
ISNUMBER(SEARCH("regulation",F25)),
ISNUMBER(SEARCH("compliance",F25)),
ISNUMBER(SEARCH("policy",F25))
),"Law","Other")))))</f>
        <v>Health</v>
      </c>
      <c r="H25" t="str" cm="1">
        <f t="array" ref="H25">IF(AND(
SUM(--ISNUMBER(SEARCH({"explain","interpret","transparent","accountab","ethic","govern","oversight","audit","compliance","disclosure","responsib","traceab","justif","document","report","regulat","policy","standard","guideline","framework","monitor","review","assess"},D25)))&gt;0,
SUM(--ISNUMBER(SEARCH({"fair","bias","equity","reliab","robust","depend","trust","confidence","credible","safe","secure","privacy","risk","uncertain","certainty","consistent","valid","accuracy","assurance","accept","satisf"},D25)))&gt;0
),"Yes","No")</f>
        <v>Yes</v>
      </c>
      <c r="I25" t="s">
        <v>176</v>
      </c>
      <c r="K25" t="s">
        <v>216</v>
      </c>
      <c r="L25" t="str" cm="1">
        <f t="array" ref="L25">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D25))
))</f>
        <v>report, standard, depend, accuracy</v>
      </c>
    </row>
    <row r="26" spans="1:12" x14ac:dyDescent="0.25">
      <c r="A26" t="s">
        <v>128</v>
      </c>
      <c r="B26" t="s">
        <v>129</v>
      </c>
      <c r="C26">
        <v>2025</v>
      </c>
      <c r="D26" t="s">
        <v>130</v>
      </c>
      <c r="E26" t="s">
        <v>131</v>
      </c>
      <c r="F26" t="s">
        <v>132</v>
      </c>
      <c r="G26" t="str">
        <f>IF(OR(
ISNUMBER(SEARCH("tech",F26)),
ISNUMBER(SEARCH("AI",F26)),
ISNUMBER(SEARCH("software",F26)),
ISNUMBER(SEARCH("data",F26)),
ISNUMBER(SEARCH("digital",F26))
),"Technology",
IF(OR(
ISNUMBER(SEARCH("health",F26)),
ISNUMBER(SEARCH("medical",F26)),
ISNUMBER(SEARCH("clinical",F26)),
ISNUMBER(SEARCH("hospital",F26)),
ISNUMBER(SEARCH("patient",F26))
),"Health",
IF(OR(
ISNUMBER(SEARCH("education",F26)),
ISNUMBER(SEARCH("learning",F26)),
ISNUMBER(SEARCH("school",F26)),
ISNUMBER(SEARCH("training",F26)),
ISNUMBER(SEARCH("curriculum",F26))
),"Education",
IF(OR(
ISNUMBER(SEARCH("hiring",F26)),
ISNUMBER(SEARCH("recruit",F26)),
ISNUMBER(SEARCH("employment",F26)),
ISNUMBER(SEARCH("talent",F26)),
ISNUMBER(SEARCH("HR",F26))
),"Hiring",
IF(OR(
ISNUMBER(SEARCH("law",F26)),
ISNUMBER(SEARCH("legal",F26)),
ISNUMBER(SEARCH("regulation",F26)),
ISNUMBER(SEARCH("compliance",F26)),
ISNUMBER(SEARCH("policy",F26))
),"Law","Other")))))</f>
        <v>Law</v>
      </c>
      <c r="H26" t="str" cm="1">
        <f t="array" ref="H26">IF(AND(
SUM(--ISNUMBER(SEARCH({"explain","interpret","transparent","accountab","ethic","govern","oversight","audit","compliance","disclosure","responsib","traceab","justif","document","report","regulat","policy","standard","guideline","framework","monitor","review","assess"},D26)))&gt;0,
SUM(--ISNUMBER(SEARCH({"fair","bias","equity","reliab","robust","depend","trust","confidence","credible","safe","secure","privacy","risk","uncertain","certainty","consistent","valid","accuracy","assurance","accept","satisf"},D26)))&gt;0
),"Yes","No")</f>
        <v>Yes</v>
      </c>
      <c r="I26" t="s">
        <v>176</v>
      </c>
      <c r="K26" t="s">
        <v>217</v>
      </c>
      <c r="L26" t="str" cm="1">
        <f t="array" ref="L26">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D26))
))</f>
        <v>govern, regulat, policy, framework, monitor, review, assess, accuracy</v>
      </c>
    </row>
    <row r="27" spans="1:12" x14ac:dyDescent="0.25">
      <c r="A27" t="s">
        <v>133</v>
      </c>
      <c r="B27" t="s">
        <v>134</v>
      </c>
      <c r="C27">
        <v>2025</v>
      </c>
      <c r="D27" t="s">
        <v>135</v>
      </c>
      <c r="E27" t="s">
        <v>136</v>
      </c>
      <c r="F27" t="s">
        <v>137</v>
      </c>
      <c r="G27" t="str">
        <f>IF(OR(
ISNUMBER(SEARCH("tech",F27)),
ISNUMBER(SEARCH("AI",F27)),
ISNUMBER(SEARCH("software",F27)),
ISNUMBER(SEARCH("data",F27)),
ISNUMBER(SEARCH("digital",F27))
),"Technology",
IF(OR(
ISNUMBER(SEARCH("health",F27)),
ISNUMBER(SEARCH("medical",F27)),
ISNUMBER(SEARCH("clinical",F27)),
ISNUMBER(SEARCH("hospital",F27)),
ISNUMBER(SEARCH("patient",F27))
),"Health",
IF(OR(
ISNUMBER(SEARCH("education",F27)),
ISNUMBER(SEARCH("learning",F27)),
ISNUMBER(SEARCH("school",F27)),
ISNUMBER(SEARCH("training",F27)),
ISNUMBER(SEARCH("curriculum",F27))
),"Education",
IF(OR(
ISNUMBER(SEARCH("hiring",F27)),
ISNUMBER(SEARCH("recruit",F27)),
ISNUMBER(SEARCH("employment",F27)),
ISNUMBER(SEARCH("talent",F27)),
ISNUMBER(SEARCH("HR",F27))
),"Hiring",
IF(OR(
ISNUMBER(SEARCH("law",F27)),
ISNUMBER(SEARCH("legal",F27)),
ISNUMBER(SEARCH("regulation",F27)),
ISNUMBER(SEARCH("compliance",F27)),
ISNUMBER(SEARCH("policy",F27))
),"Law","Other")))))</f>
        <v>Law</v>
      </c>
      <c r="H27" t="str" cm="1">
        <f t="array" ref="H27">IF(AND(
SUM(--ISNUMBER(SEARCH({"explain","interpret","transparent","accountab","ethic","govern","oversight","audit","compliance","disclosure","responsib","traceab","justif","document","report","regulat","policy","standard","guideline","framework","monitor","review","assess"},D27)))&gt;0,
SUM(--ISNUMBER(SEARCH({"fair","bias","equity","reliab","robust","depend","trust","confidence","credible","safe","secure","privacy","risk","uncertain","certainty","consistent","valid","accuracy","assurance","accept","satisf"},D27)))&gt;0
),"Yes","No")</f>
        <v>Yes</v>
      </c>
      <c r="I27" t="s">
        <v>176</v>
      </c>
      <c r="K27" t="s">
        <v>218</v>
      </c>
      <c r="L27" t="str" cm="1">
        <f t="array" ref="L27">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D27))
))</f>
        <v>policy, framework, risk</v>
      </c>
    </row>
    <row r="28" spans="1:12" x14ac:dyDescent="0.25">
      <c r="A28" t="s">
        <v>138</v>
      </c>
      <c r="B28" t="s">
        <v>139</v>
      </c>
      <c r="C28">
        <v>2025</v>
      </c>
      <c r="D28" t="s">
        <v>140</v>
      </c>
      <c r="E28" t="s">
        <v>141</v>
      </c>
      <c r="F28" t="s">
        <v>142</v>
      </c>
      <c r="G28" t="str">
        <f>IF(OR(
ISNUMBER(SEARCH("tech",F28)),
ISNUMBER(SEARCH("AI",F28)),
ISNUMBER(SEARCH("software",F28)),
ISNUMBER(SEARCH("data",F28)),
ISNUMBER(SEARCH("digital",F28))
),"Technology",
IF(OR(
ISNUMBER(SEARCH("health",F28)),
ISNUMBER(SEARCH("medical",F28)),
ISNUMBER(SEARCH("clinical",F28)),
ISNUMBER(SEARCH("hospital",F28)),
ISNUMBER(SEARCH("patient",F28))
),"Health",
IF(OR(
ISNUMBER(SEARCH("education",F28)),
ISNUMBER(SEARCH("learning",F28)),
ISNUMBER(SEARCH("school",F28)),
ISNUMBER(SEARCH("training",F28)),
ISNUMBER(SEARCH("curriculum",F28))
),"Education",
IF(OR(
ISNUMBER(SEARCH("hiring",F28)),
ISNUMBER(SEARCH("recruit",F28)),
ISNUMBER(SEARCH("employment",F28)),
ISNUMBER(SEARCH("talent",F28)),
ISNUMBER(SEARCH("HR",F28))
),"Hiring",
IF(OR(
ISNUMBER(SEARCH("law",F28)),
ISNUMBER(SEARCH("legal",F28)),
ISNUMBER(SEARCH("regulation",F28)),
ISNUMBER(SEARCH("compliance",F28)),
ISNUMBER(SEARCH("policy",F28))
),"Law","Other")))))</f>
        <v>Law</v>
      </c>
      <c r="H28" t="str" cm="1">
        <f t="array" ref="H28">IF(AND(
SUM(--ISNUMBER(SEARCH({"explain","interpret","transparent","accountab","ethic","govern","oversight","audit","compliance","disclosure","responsib","traceab","justif","document","report","regulat","policy","standard","guideline","framework","monitor","review","assess"},D28)))&gt;0,
SUM(--ISNUMBER(SEARCH({"fair","bias","equity","reliab","robust","depend","trust","confidence","credible","safe","secure","privacy","risk","uncertain","certainty","consistent","valid","accuracy","assurance","accept","satisf"},D28)))&gt;0
),"Yes","No")</f>
        <v>Yes</v>
      </c>
      <c r="I28" t="s">
        <v>176</v>
      </c>
      <c r="K28" t="s">
        <v>219</v>
      </c>
      <c r="L28" t="str" cm="1">
        <f t="array" ref="L28">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D28))
))</f>
        <v>responsib, bias, depend, trust</v>
      </c>
    </row>
    <row r="29" spans="1:12" x14ac:dyDescent="0.25">
      <c r="A29" t="s">
        <v>143</v>
      </c>
      <c r="B29" t="s">
        <v>144</v>
      </c>
      <c r="C29">
        <v>2025</v>
      </c>
      <c r="D29" t="s">
        <v>145</v>
      </c>
      <c r="E29" t="s">
        <v>146</v>
      </c>
      <c r="F29" t="s">
        <v>147</v>
      </c>
      <c r="G29" t="s">
        <v>148</v>
      </c>
      <c r="H29" t="str" cm="1">
        <f t="array" ref="H29">IF(AND(
SUM(--ISNUMBER(SEARCH({"explain","interpret","transparent","accountab","ethic","govern","oversight","audit","compliance","disclosure","responsib","traceab","justif","document","report","regulat","policy","standard","guideline","framework","monitor","review","assess"},D29)))&gt;0,
SUM(--ISNUMBER(SEARCH({"fair","bias","equity","reliab","robust","depend","trust","confidence","credible","safe","secure","privacy","risk","uncertain","certainty","consistent","valid","accuracy","assurance","accept","satisf"},D29)))&gt;0
),"Yes","No")</f>
        <v>Yes</v>
      </c>
      <c r="I29" t="s">
        <v>176</v>
      </c>
      <c r="K29" t="s">
        <v>220</v>
      </c>
      <c r="L29" t="str" cm="1">
        <f t="array" ref="L29">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D29))
))</f>
        <v>interpret, regulat, framework, assess, robust, accuracy</v>
      </c>
    </row>
    <row r="30" spans="1:12" x14ac:dyDescent="0.25">
      <c r="A30" t="s">
        <v>149</v>
      </c>
      <c r="B30" t="s">
        <v>150</v>
      </c>
      <c r="C30">
        <v>2025</v>
      </c>
      <c r="D30" t="s">
        <v>151</v>
      </c>
      <c r="E30" t="s">
        <v>152</v>
      </c>
      <c r="F30" t="s">
        <v>153</v>
      </c>
      <c r="G30" t="s">
        <v>148</v>
      </c>
      <c r="H30" t="str" cm="1">
        <f t="array" ref="H30">IF(AND(
SUM(--ISNUMBER(SEARCH({"explain","interpret","transparent","accountab","ethic","govern","oversight","audit","compliance","disclosure","responsib","traceab","justif","document","report","regulat","policy","standard","guideline","framework","monitor","review","assess"},D30)))&gt;0,
SUM(--ISNUMBER(SEARCH({"fair","bias","equity","reliab","robust","depend","trust","confidence","credible","safe","secure","privacy","risk","uncertain","certainty","consistent","valid","accuracy","assurance","accept","satisf"},D30)))&gt;0
),"Yes","No")</f>
        <v>Yes</v>
      </c>
      <c r="I30" t="s">
        <v>176</v>
      </c>
      <c r="K30" t="s">
        <v>221</v>
      </c>
      <c r="L30" t="str" cm="1">
        <f t="array" ref="L30">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D30))
))</f>
        <v>ethic, govern, policy, standard, reliab, safe, secure, consistent</v>
      </c>
    </row>
    <row r="31" spans="1:12" x14ac:dyDescent="0.25">
      <c r="A31" t="s">
        <v>154</v>
      </c>
      <c r="B31" t="s">
        <v>155</v>
      </c>
      <c r="C31">
        <v>2024</v>
      </c>
      <c r="D31" t="s">
        <v>156</v>
      </c>
      <c r="E31" t="s">
        <v>157</v>
      </c>
      <c r="F31" t="s">
        <v>158</v>
      </c>
      <c r="G31" t="s">
        <v>45</v>
      </c>
      <c r="H31" t="str" cm="1">
        <f t="array" ref="H31">IF(AND(
SUM(--ISNUMBER(SEARCH({"explain","interpret","transparent","accountab","ethic","govern","oversight","audit","compliance","disclosure","responsib","traceab","justif","document","report","regulat","policy","standard","guideline","framework","monitor","review","assess"},D31)))&gt;0,
SUM(--ISNUMBER(SEARCH({"fair","bias","equity","reliab","robust","depend","trust","confidence","credible","safe","secure","privacy","risk","uncertain","certainty","consistent","valid","accuracy","assurance","accept","satisf"},D31)))&gt;0
),"Yes","No")</f>
        <v>Yes</v>
      </c>
      <c r="I31" t="s">
        <v>176</v>
      </c>
      <c r="K31" t="s">
        <v>222</v>
      </c>
      <c r="L31" t="str" cm="1">
        <f t="array" ref="L31">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D31))
))</f>
        <v>explain, disclosure, regulat, standard, assess, trust, risk, valid</v>
      </c>
    </row>
    <row r="32" spans="1:12" x14ac:dyDescent="0.25">
      <c r="A32" t="s">
        <v>159</v>
      </c>
      <c r="B32" t="s">
        <v>160</v>
      </c>
      <c r="C32">
        <v>2023</v>
      </c>
      <c r="D32" t="s">
        <v>161</v>
      </c>
      <c r="E32" t="s">
        <v>162</v>
      </c>
      <c r="F32" t="s">
        <v>163</v>
      </c>
      <c r="G32" t="s">
        <v>148</v>
      </c>
      <c r="H32" t="str" cm="1">
        <f t="array" ref="H32">IF(AND(
SUM(--ISNUMBER(SEARCH({"explain","interpret","transparent","accountab","ethic","govern","oversight","audit","compliance","disclosure","responsib","traceab","justif","document","report","regulat","policy","standard","guideline","framework","monitor","review","assess"},D32)))&gt;0,
SUM(--ISNUMBER(SEARCH({"fair","bias","equity","reliab","robust","depend","trust","confidence","credible","safe","secure","privacy","risk","uncertain","certainty","consistent","valid","accuracy","assurance","accept","satisf"},D32)))&gt;0
),"Yes","No")</f>
        <v>Yes</v>
      </c>
      <c r="I32" t="s">
        <v>176</v>
      </c>
      <c r="K32" t="s">
        <v>223</v>
      </c>
      <c r="L32" t="str" cm="1">
        <f t="array" ref="L32">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D32))
))</f>
        <v>transparent, standard, framework, depend, trust, safe, risk</v>
      </c>
    </row>
    <row r="33" spans="1:12" x14ac:dyDescent="0.25">
      <c r="A33" t="s">
        <v>164</v>
      </c>
      <c r="B33" t="s">
        <v>165</v>
      </c>
      <c r="C33">
        <v>2021</v>
      </c>
      <c r="D33" t="s">
        <v>166</v>
      </c>
      <c r="E33" s="2" t="s">
        <v>167</v>
      </c>
      <c r="F33" t="s">
        <v>168</v>
      </c>
      <c r="G33" t="str">
        <f>IF(OR(
ISNUMBER(SEARCH("tech",D34)),
ISNUMBER(SEARCH("AI",D34)),
ISNUMBER(SEARCH("software",D34)),
ISNUMBER(SEARCH("data",D34)),
ISNUMBER(SEARCH("digital",D34))
),"Technology",
IF(OR(
ISNUMBER(SEARCH("health",D34)),
ISNUMBER(SEARCH("medical",D34)),
ISNUMBER(SEARCH("clinical",D34)),
ISNUMBER(SEARCH("hospital",D34)),
ISNUMBER(SEARCH("patient",D34))
),"Health",
IF(OR(
ISNUMBER(SEARCH("education",D34)),
ISNUMBER(SEARCH("learning",D34)),
ISNUMBER(SEARCH("school",D34)),
ISNUMBER(SEARCH("training",D34)),
ISNUMBER(SEARCH("curriculum",D34))
),"Education",
IF(OR(
ISNUMBER(SEARCH("hiring",D34)),
ISNUMBER(SEARCH("recruit",D34)),
ISNUMBER(SEARCH("employment",D34)),
ISNUMBER(SEARCH("talent",D34)),
ISNUMBER(SEARCH("HR",D34))
),"Hiring",
IF(OR(
ISNUMBER(SEARCH("law",D34)),
ISNUMBER(SEARCH("legal",D34)),
ISNUMBER(SEARCH("regulation",D34)),
ISNUMBER(SEARCH("compliance",D34)),
ISNUMBER(SEARCH("policy",D34))
),"Law","Other")))))</f>
        <v>Technology</v>
      </c>
      <c r="H33" t="str" cm="1">
        <f t="array" ref="H33">IF(AND(
SUM(--ISNUMBER(SEARCH({"explain","interpret","transparent","accountab","ethic","govern","oversight","audit","compliance","disclosure","responsib","traceab","justif","document","report","regulat","policy","standard","guideline","framework","monitor","review","assess"},D33)))&gt;0,
SUM(--ISNUMBER(SEARCH({"fair","bias","equity","reliab","robust","depend","trust","confidence","credible","safe","secure","privacy","risk","uncertain","certainty","consistent","valid","accuracy","assurance","accept","satisf"},D33)))&gt;0
),"Yes","No")</f>
        <v>Yes</v>
      </c>
      <c r="I33" t="s">
        <v>176</v>
      </c>
      <c r="K33" t="s">
        <v>226</v>
      </c>
      <c r="L33" t="str" cm="1">
        <f t="array" ref="L33">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D33))
))</f>
        <v>monitor, secure, privacy</v>
      </c>
    </row>
    <row r="34" spans="1:12" x14ac:dyDescent="0.25">
      <c r="A34" t="s">
        <v>169</v>
      </c>
      <c r="B34" t="s">
        <v>229</v>
      </c>
      <c r="C34">
        <v>2025</v>
      </c>
      <c r="D34" t="s">
        <v>194</v>
      </c>
      <c r="E34" s="2" t="s">
        <v>170</v>
      </c>
      <c r="F34" t="s">
        <v>228</v>
      </c>
      <c r="G34" t="s">
        <v>24</v>
      </c>
      <c r="H34" t="s">
        <v>13</v>
      </c>
      <c r="I34" t="s">
        <v>175</v>
      </c>
      <c r="K34" t="s">
        <v>196</v>
      </c>
      <c r="L34" t="str" cm="1">
        <f t="array" ref="L34">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D34))
))</f>
        <v>explain, interpret, ethic, framework, assess, fair, bias, trust, safe, accuracy</v>
      </c>
    </row>
    <row r="35" spans="1:12" x14ac:dyDescent="0.25">
      <c r="A35" t="s">
        <v>171</v>
      </c>
      <c r="B35" t="s">
        <v>230</v>
      </c>
      <c r="C35">
        <v>2025</v>
      </c>
      <c r="D35" t="s">
        <v>173</v>
      </c>
      <c r="E35" s="2" t="s">
        <v>172</v>
      </c>
      <c r="F35" t="s">
        <v>174</v>
      </c>
      <c r="G35" t="s">
        <v>24</v>
      </c>
      <c r="H35" t="s">
        <v>13</v>
      </c>
      <c r="I35" t="s">
        <v>175</v>
      </c>
      <c r="K35" t="s">
        <v>226</v>
      </c>
      <c r="L35" t="str" cm="1">
        <f t="array" ref="L35">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D35))
))</f>
        <v>ethic, document, framework, fair, robust, privacy</v>
      </c>
    </row>
    <row r="36" spans="1:12" x14ac:dyDescent="0.25">
      <c r="A36" t="s">
        <v>178</v>
      </c>
      <c r="B36" t="s">
        <v>179</v>
      </c>
      <c r="C36">
        <v>2025</v>
      </c>
      <c r="D36" t="s">
        <v>180</v>
      </c>
      <c r="E36" t="s">
        <v>181</v>
      </c>
      <c r="F36" t="s">
        <v>182</v>
      </c>
      <c r="G36" s="1" t="s">
        <v>45</v>
      </c>
      <c r="H36" t="str" cm="1">
        <f t="array" ref="H36">IF(AND(
SUM(--ISNUMBER(SEARCH({"explain","interpret","transparent","accountab","ethic","govern","oversight","audit","compliance","disclosure","responsib","traceab","justif","document","report","regulat","policy","standard","guideline","framework","monitor","review","assess"},D36)))&gt;0,
SUM(--ISNUMBER(SEARCH({"fair","bias","equity","reliab","robust","depend","trust","confidence","credible","safe","secure","privacy","risk","uncertain","certainty","consistent","valid","accuracy","assurance","accept","satisf"},D36)))&gt;0
),"Yes","No")</f>
        <v>Yes</v>
      </c>
      <c r="I36" t="s">
        <v>183</v>
      </c>
      <c r="K36" t="s">
        <v>224</v>
      </c>
      <c r="L36" t="str" cm="1">
        <f t="array" ref="L36">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D36))
))</f>
        <v>govern, reliab, secure</v>
      </c>
    </row>
    <row r="37" spans="1:12" x14ac:dyDescent="0.25">
      <c r="A37" t="s">
        <v>184</v>
      </c>
      <c r="B37" t="s">
        <v>185</v>
      </c>
      <c r="C37">
        <v>2023</v>
      </c>
      <c r="D37" t="s">
        <v>186</v>
      </c>
      <c r="E37" t="s">
        <v>187</v>
      </c>
      <c r="F37" t="s">
        <v>188</v>
      </c>
      <c r="G37" s="1" t="s">
        <v>45</v>
      </c>
      <c r="H37" t="str" cm="1">
        <f t="array" ref="H37">IF(AND(
SUM(--ISNUMBER(SEARCH({"explain","interpret","transparent","accountab","ethic","govern","oversight","audit","compliance","disclosure","responsib","traceab","justif","document","report","regulat","policy","standard","guideline","framework","monitor","review","assess"},D37)))&gt;0,
SUM(--ISNUMBER(SEARCH({"fair","bias","equity","reliab","robust","depend","trust","confidence","credible","safe","secure","privacy","risk","uncertain","certainty","consistent","valid","accuracy","assurance","accept","satisf"},D37)))&gt;0
),"Yes","No")</f>
        <v>Yes</v>
      </c>
      <c r="I37" t="s">
        <v>183</v>
      </c>
      <c r="K37" t="s">
        <v>199</v>
      </c>
      <c r="L37" t="str" cm="1">
        <f t="array" ref="L37">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D37))
))</f>
        <v>ethic, fair, bias, reliab, privacy, valid</v>
      </c>
    </row>
    <row r="38" spans="1:12" x14ac:dyDescent="0.25">
      <c r="A38" t="s">
        <v>189</v>
      </c>
      <c r="B38" t="s">
        <v>190</v>
      </c>
      <c r="C38">
        <v>2023</v>
      </c>
      <c r="D38" t="s">
        <v>191</v>
      </c>
      <c r="E38" t="s">
        <v>192</v>
      </c>
      <c r="F38" t="s">
        <v>193</v>
      </c>
      <c r="G38" t="s">
        <v>24</v>
      </c>
      <c r="H38" t="str" cm="1">
        <f t="array" ref="H38">IF(AND(
SUM(--ISNUMBER(SEARCH({"explain","interpret","transparent","accountab","ethic","govern","oversight","audit","compliance","disclosure","responsib","traceab","justif","document","report","regulat","policy","standard","guideline","framework","monitor","review","assess"},D38)))&gt;0,
SUM(--ISNUMBER(SEARCH({"fair","bias","equity","reliab","robust","depend","trust","confidence","credible","safe","secure","privacy","risk","uncertain","certainty","consistent","valid","accuracy","assurance","accept","satisf"},D38)))&gt;0
),"Yes","No")</f>
        <v>Yes</v>
      </c>
      <c r="I38" t="s">
        <v>183</v>
      </c>
      <c r="K38" t="s">
        <v>225</v>
      </c>
      <c r="L38" t="str" cm="1">
        <f t="array" ref="L38">_xlfn.TEXTJOIN(", ",TRUE,
_xlfn._xlws.FILTER(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ISNUMBER(SEARCH(
{"explain","interpret","transparent","accountab","ethic","govern","oversight","audit","compliance","disclosure","responsib","traceab","justif","document","report","regulat","policy","standard","guideline","framework","monitor","review","assess","fair","bias","equity","reliab","robust","depend","trust","confidence","credible","safe","secure","privacy","risk","uncertain","certainty","consistent","valid","accuracy","assurance","accept","satisf"},
D38))
))</f>
        <v>accountab, govern, monitor, fair, equity, robust</v>
      </c>
    </row>
  </sheetData>
  <hyperlinks>
    <hyperlink ref="E33" r:id="rId1" xr:uid="{A5CD5A63-6550-4A8D-ADCF-8BF7F72135C0}"/>
    <hyperlink ref="E35" r:id="rId2" xr:uid="{D464FFC2-1778-4D06-91F1-EDCF6FBE74F4}"/>
    <hyperlink ref="E34" r:id="rId3" xr:uid="{23E5FF4C-9450-4AD5-AFE9-C908E6489B1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Ataguba</dc:creator>
  <cp:lastModifiedBy>Grace Ataguba</cp:lastModifiedBy>
  <dcterms:created xsi:type="dcterms:W3CDTF">2026-03-21T04:46:17Z</dcterms:created>
  <dcterms:modified xsi:type="dcterms:W3CDTF">2026-03-21T07:04:45Z</dcterms:modified>
</cp:coreProperties>
</file>